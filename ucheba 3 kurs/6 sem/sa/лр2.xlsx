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Lenovo\Desktop\СА\"/>
    </mc:Choice>
  </mc:AlternateContent>
  <xr:revisionPtr revIDLastSave="0" documentId="13_ncr:1_{7F779F2F-2BFB-4F35-A86C-7945C9F9602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I34" i="1"/>
  <c r="I35" i="1"/>
  <c r="I36" i="1"/>
  <c r="I32" i="1"/>
  <c r="K32" i="1" s="1"/>
  <c r="H37" i="1"/>
  <c r="H33" i="1"/>
  <c r="H34" i="1"/>
  <c r="H35" i="1"/>
  <c r="H36" i="1"/>
  <c r="H32" i="1"/>
  <c r="K22" i="1"/>
  <c r="J22" i="1"/>
  <c r="K12" i="1"/>
  <c r="J12" i="1"/>
  <c r="I23" i="1"/>
  <c r="I24" i="1"/>
  <c r="I25" i="1"/>
  <c r="I26" i="1"/>
  <c r="I22" i="1"/>
  <c r="H27" i="1"/>
  <c r="H23" i="1"/>
  <c r="H24" i="1"/>
  <c r="H25" i="1"/>
  <c r="H26" i="1"/>
  <c r="H22" i="1"/>
  <c r="H13" i="1"/>
  <c r="H14" i="1"/>
  <c r="H15" i="1"/>
  <c r="H16" i="1"/>
  <c r="H12" i="1"/>
  <c r="G4" i="1"/>
  <c r="G5" i="1"/>
  <c r="G3" i="1"/>
  <c r="F6" i="1"/>
  <c r="F4" i="1"/>
  <c r="F5" i="1"/>
  <c r="F3" i="1"/>
  <c r="J32" i="1" l="1"/>
  <c r="H17" i="1"/>
  <c r="I14" i="1" s="1"/>
  <c r="I13" i="1" l="1"/>
  <c r="I12" i="1"/>
  <c r="I16" i="1"/>
  <c r="I15" i="1"/>
</calcChain>
</file>

<file path=xl/sharedStrings.xml><?xml version="1.0" encoding="utf-8"?>
<sst xmlns="http://schemas.openxmlformats.org/spreadsheetml/2006/main" count="59" uniqueCount="21">
  <si>
    <t xml:space="preserve">Матрица парных сравнений критериев по важности </t>
  </si>
  <si>
    <t>К1</t>
  </si>
  <si>
    <t>К2</t>
  </si>
  <si>
    <t>К3</t>
  </si>
  <si>
    <t>С</t>
  </si>
  <si>
    <t>Сумма С</t>
  </si>
  <si>
    <t>L</t>
  </si>
  <si>
    <t>Лок приор</t>
  </si>
  <si>
    <t>М1</t>
  </si>
  <si>
    <t>М2</t>
  </si>
  <si>
    <t>М3</t>
  </si>
  <si>
    <t>М4</t>
  </si>
  <si>
    <t>М6</t>
  </si>
  <si>
    <t>Матрица сравнений по близости к ист сырья</t>
  </si>
  <si>
    <t>L относ К1</t>
  </si>
  <si>
    <t>Матрица сравнений по близости к потребителям</t>
  </si>
  <si>
    <t>L относ К2</t>
  </si>
  <si>
    <t>Лучш</t>
  </si>
  <si>
    <t>Худш</t>
  </si>
  <si>
    <t>Матрица по затратам</t>
  </si>
  <si>
    <t>L относ 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</si>
</sst>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2" fontId="0" fillId="0" borderId="0" xfId="0" applyNumberFormat="1"/>
    <xf numFmtId="0" fontId="0" fillId="0" borderId="0" xfId="0" applyAlignment="1">
      <alignment vertical="center"/>
    </xf>
    <xf numFmtId="2" fontId="0" fillId="0" borderId="1" xfId="0" applyNumberFormat="1" applyBorder="1"/>
    <xf numFmtId="0" fontId="0" fillId="0" borderId="1" xfId="0" applyBorder="1"/>
    <xf numFmtId="1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topLeftCell="A18" workbookViewId="0">
      <selection activeCell="I35" sqref="I35"/>
    </sheetView>
  </sheetViews>
  <sheetFormatPr defaultRowHeight="14.4" x14ac:dyDescent="0.3"/>
  <cols>
    <col min="2" max="2" width="9.21875" bestFit="1" customWidth="1"/>
  </cols>
  <sheetData>
    <row r="1" spans="1:17" x14ac:dyDescent="0.3">
      <c r="A1" s="2" t="s">
        <v>0</v>
      </c>
      <c r="B1" s="2"/>
      <c r="C1" s="2"/>
      <c r="D1" s="4"/>
      <c r="G1" t="s">
        <v>7</v>
      </c>
    </row>
    <row r="2" spans="1:17" x14ac:dyDescent="0.3">
      <c r="A2" s="6"/>
      <c r="B2" s="6" t="s">
        <v>1</v>
      </c>
      <c r="C2" s="6" t="s">
        <v>2</v>
      </c>
      <c r="D2" s="6" t="s">
        <v>3</v>
      </c>
      <c r="F2" t="s">
        <v>4</v>
      </c>
      <c r="G2" t="s">
        <v>6</v>
      </c>
    </row>
    <row r="3" spans="1:17" x14ac:dyDescent="0.3">
      <c r="A3" s="6" t="s">
        <v>1</v>
      </c>
      <c r="B3" s="5">
        <v>1</v>
      </c>
      <c r="C3" s="5">
        <v>3</v>
      </c>
      <c r="D3" s="7">
        <v>0.2</v>
      </c>
      <c r="F3">
        <f>GEOMEAN(B3:D3)</f>
        <v>0.84343266530174932</v>
      </c>
      <c r="G3">
        <f>F3/$F$6</f>
        <v>0.1883940966391198</v>
      </c>
    </row>
    <row r="4" spans="1:17" x14ac:dyDescent="0.3">
      <c r="A4" s="6" t="s">
        <v>2</v>
      </c>
      <c r="B4" s="7">
        <v>0.33333333333333331</v>
      </c>
      <c r="C4" s="5">
        <v>1</v>
      </c>
      <c r="D4" s="7">
        <v>0.14285714285714285</v>
      </c>
      <c r="F4">
        <f t="shared" ref="F4:F5" si="0">GEOMEAN(B4:D4)</f>
        <v>0.36246012433429736</v>
      </c>
      <c r="G4">
        <f t="shared" ref="G4:G5" si="1">F4/$F$6</f>
        <v>8.096123199975068E-2</v>
      </c>
    </row>
    <row r="5" spans="1:17" x14ac:dyDescent="0.3">
      <c r="A5" s="6" t="s">
        <v>3</v>
      </c>
      <c r="B5" s="5">
        <v>5</v>
      </c>
      <c r="C5" s="5">
        <v>7</v>
      </c>
      <c r="D5" s="5">
        <v>1</v>
      </c>
      <c r="F5">
        <f t="shared" si="0"/>
        <v>3.2710663101885897</v>
      </c>
      <c r="G5">
        <f t="shared" si="1"/>
        <v>0.73064467136112954</v>
      </c>
      <c r="N5" s="6"/>
      <c r="O5" s="6"/>
      <c r="P5" s="6"/>
      <c r="Q5" s="6"/>
    </row>
    <row r="6" spans="1:17" x14ac:dyDescent="0.3">
      <c r="A6" t="s">
        <v>5</v>
      </c>
      <c r="F6">
        <f>SUM(F3:F5)</f>
        <v>4.4769590998246365</v>
      </c>
      <c r="N6" s="6"/>
      <c r="O6" s="5"/>
      <c r="P6" s="5"/>
      <c r="Q6" s="7"/>
    </row>
    <row r="7" spans="1:17" x14ac:dyDescent="0.3">
      <c r="N7" s="6"/>
      <c r="O7" s="7"/>
      <c r="P7" s="5"/>
      <c r="Q7" s="7"/>
    </row>
    <row r="8" spans="1:17" x14ac:dyDescent="0.3">
      <c r="N8" s="6"/>
      <c r="O8" s="5"/>
      <c r="P8" s="5"/>
      <c r="Q8" s="5"/>
    </row>
    <row r="10" spans="1:17" x14ac:dyDescent="0.3">
      <c r="A10" s="1" t="s">
        <v>13</v>
      </c>
      <c r="B10" s="1"/>
      <c r="C10" s="1"/>
      <c r="D10" s="1"/>
      <c r="E10" s="1"/>
      <c r="F10" s="1"/>
    </row>
    <row r="11" spans="1:17" x14ac:dyDescent="0.3">
      <c r="A11" s="6"/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H11" t="s">
        <v>4</v>
      </c>
      <c r="I11" t="s">
        <v>14</v>
      </c>
      <c r="J11" t="s">
        <v>17</v>
      </c>
      <c r="K11" t="s">
        <v>18</v>
      </c>
    </row>
    <row r="12" spans="1:17" x14ac:dyDescent="0.3">
      <c r="A12" s="6" t="s">
        <v>8</v>
      </c>
      <c r="B12" s="5">
        <v>1</v>
      </c>
      <c r="C12" s="5">
        <v>3</v>
      </c>
      <c r="D12" s="5">
        <v>7</v>
      </c>
      <c r="E12" s="5">
        <v>1</v>
      </c>
      <c r="F12" s="5">
        <v>5</v>
      </c>
      <c r="H12">
        <f xml:space="preserve"> GEOMEAN(B12:F12)</f>
        <v>2.5365174816357361</v>
      </c>
      <c r="I12">
        <f>H12/$H$17</f>
        <v>0.36376016424305363</v>
      </c>
      <c r="J12">
        <f>MAX(I12:I16)</f>
        <v>0.36376016424305363</v>
      </c>
      <c r="K12">
        <f>MIN(I12:I16)</f>
        <v>3.831067550491974E-2</v>
      </c>
    </row>
    <row r="13" spans="1:17" x14ac:dyDescent="0.3">
      <c r="A13" s="6" t="s">
        <v>9</v>
      </c>
      <c r="B13" s="7">
        <v>0.33333333333333331</v>
      </c>
      <c r="C13" s="5">
        <v>1</v>
      </c>
      <c r="D13" s="5">
        <v>5</v>
      </c>
      <c r="E13" s="7">
        <v>0.33333333333333298</v>
      </c>
      <c r="F13" s="5">
        <v>3</v>
      </c>
      <c r="H13">
        <f t="shared" ref="H13:H16" si="2" xml:space="preserve"> GEOMEAN(B13:F13)</f>
        <v>1.1075663432482896</v>
      </c>
      <c r="I13">
        <f t="shared" ref="I13:I16" si="3">H13/$H$17</f>
        <v>0.15883529991295922</v>
      </c>
    </row>
    <row r="14" spans="1:17" x14ac:dyDescent="0.3">
      <c r="A14" s="6" t="s">
        <v>10</v>
      </c>
      <c r="B14" s="7">
        <v>0.14285714285714285</v>
      </c>
      <c r="C14" s="7">
        <v>0.2</v>
      </c>
      <c r="D14" s="5">
        <v>1</v>
      </c>
      <c r="E14" s="7">
        <v>0.14285714285714299</v>
      </c>
      <c r="F14" s="7">
        <v>0.33333333333333331</v>
      </c>
      <c r="H14">
        <f t="shared" si="2"/>
        <v>0.26714222090182754</v>
      </c>
      <c r="I14">
        <f t="shared" si="3"/>
        <v>3.831067550491974E-2</v>
      </c>
    </row>
    <row r="15" spans="1:17" x14ac:dyDescent="0.3">
      <c r="A15" s="6" t="s">
        <v>11</v>
      </c>
      <c r="B15" s="5">
        <v>1</v>
      </c>
      <c r="C15" s="5">
        <v>3</v>
      </c>
      <c r="D15" s="5">
        <v>7</v>
      </c>
      <c r="E15" s="5">
        <v>1</v>
      </c>
      <c r="F15" s="5">
        <v>5</v>
      </c>
      <c r="H15">
        <f t="shared" si="2"/>
        <v>2.5365174816357361</v>
      </c>
      <c r="I15">
        <f t="shared" si="3"/>
        <v>0.36376016424305363</v>
      </c>
    </row>
    <row r="16" spans="1:17" x14ac:dyDescent="0.3">
      <c r="A16" s="6" t="s">
        <v>12</v>
      </c>
      <c r="B16" s="7">
        <v>0.2</v>
      </c>
      <c r="C16" s="7">
        <v>0.33333333333333331</v>
      </c>
      <c r="D16" s="5">
        <v>3</v>
      </c>
      <c r="E16" s="7">
        <v>0.2</v>
      </c>
      <c r="F16" s="5">
        <v>1</v>
      </c>
      <c r="H16">
        <f t="shared" si="2"/>
        <v>0.52530556088075342</v>
      </c>
      <c r="I16">
        <f t="shared" si="3"/>
        <v>7.5333696096013592E-2</v>
      </c>
    </row>
    <row r="17" spans="1:11" x14ac:dyDescent="0.3">
      <c r="A17" t="s">
        <v>5</v>
      </c>
      <c r="H17">
        <f>SUM(H12:H16)</f>
        <v>6.9730490883023437</v>
      </c>
    </row>
    <row r="20" spans="1:11" x14ac:dyDescent="0.3">
      <c r="A20" s="1" t="s">
        <v>15</v>
      </c>
      <c r="B20" s="1"/>
      <c r="C20" s="1"/>
      <c r="D20" s="1"/>
      <c r="E20" s="1"/>
      <c r="F20" s="1"/>
    </row>
    <row r="21" spans="1:11" x14ac:dyDescent="0.3">
      <c r="A21" s="6"/>
      <c r="B21" s="6" t="s">
        <v>8</v>
      </c>
      <c r="C21" s="6" t="s">
        <v>9</v>
      </c>
      <c r="D21" s="6" t="s">
        <v>10</v>
      </c>
      <c r="E21" s="6" t="s">
        <v>11</v>
      </c>
      <c r="F21" s="6" t="s">
        <v>12</v>
      </c>
      <c r="H21" t="s">
        <v>4</v>
      </c>
      <c r="I21" t="s">
        <v>16</v>
      </c>
      <c r="J21" t="s">
        <v>17</v>
      </c>
      <c r="K21" t="s">
        <v>18</v>
      </c>
    </row>
    <row r="22" spans="1:11" x14ac:dyDescent="0.3">
      <c r="A22" s="6" t="s">
        <v>8</v>
      </c>
      <c r="B22" s="5">
        <v>1</v>
      </c>
      <c r="C22" s="7">
        <v>0.33333333333333331</v>
      </c>
      <c r="D22" s="7">
        <v>0.2</v>
      </c>
      <c r="E22" s="5">
        <v>3</v>
      </c>
      <c r="F22" s="7">
        <v>0.14285714285714285</v>
      </c>
      <c r="H22">
        <f xml:space="preserve"> GEOMEAN(B22:F22)</f>
        <v>0.49111860991873663</v>
      </c>
      <c r="I22">
        <f>H22/$H$27</f>
        <v>6.3636045086231371E-2</v>
      </c>
      <c r="J22">
        <f>MAX(I22:I26)</f>
        <v>0.51003872501686387</v>
      </c>
      <c r="K22">
        <f>MIN(I22:I26)</f>
        <v>3.291777163618214E-2</v>
      </c>
    </row>
    <row r="23" spans="1:11" x14ac:dyDescent="0.3">
      <c r="A23" s="6" t="s">
        <v>9</v>
      </c>
      <c r="B23" s="5">
        <v>3</v>
      </c>
      <c r="C23" s="5">
        <v>1</v>
      </c>
      <c r="D23" s="7">
        <v>0.33333333333333331</v>
      </c>
      <c r="E23" s="5">
        <v>5</v>
      </c>
      <c r="F23" s="7">
        <v>0.2</v>
      </c>
      <c r="H23">
        <f t="shared" ref="H23:H26" si="4" xml:space="preserve"> GEOMEAN(B23:F23)</f>
        <v>1</v>
      </c>
      <c r="I23">
        <f t="shared" ref="I23:I26" si="5">H23/$H$27</f>
        <v>0.12957367894643812</v>
      </c>
    </row>
    <row r="24" spans="1:11" x14ac:dyDescent="0.3">
      <c r="A24" s="6" t="s">
        <v>10</v>
      </c>
      <c r="B24" s="5">
        <v>5</v>
      </c>
      <c r="C24" s="5">
        <v>3</v>
      </c>
      <c r="D24" s="5">
        <v>1</v>
      </c>
      <c r="E24" s="5">
        <v>7</v>
      </c>
      <c r="F24" s="7">
        <v>0.33333333333333331</v>
      </c>
      <c r="H24">
        <f t="shared" si="4"/>
        <v>2.0361680046403978</v>
      </c>
      <c r="I24">
        <f t="shared" si="5"/>
        <v>0.26383377931428448</v>
      </c>
    </row>
    <row r="25" spans="1:11" x14ac:dyDescent="0.3">
      <c r="A25" s="6" t="s">
        <v>11</v>
      </c>
      <c r="B25" s="7">
        <v>0.33333333333333331</v>
      </c>
      <c r="C25" s="7">
        <v>0.2</v>
      </c>
      <c r="D25" s="7">
        <v>0.14285714285714285</v>
      </c>
      <c r="E25" s="5">
        <v>1</v>
      </c>
      <c r="F25" s="7">
        <v>0.1111111111111111</v>
      </c>
      <c r="H25">
        <f t="shared" si="4"/>
        <v>0.25404674702328517</v>
      </c>
      <c r="I25">
        <f t="shared" si="5"/>
        <v>3.291777163618214E-2</v>
      </c>
    </row>
    <row r="26" spans="1:11" x14ac:dyDescent="0.3">
      <c r="A26" s="6" t="s">
        <v>12</v>
      </c>
      <c r="B26" s="5">
        <v>7</v>
      </c>
      <c r="C26" s="5">
        <v>5</v>
      </c>
      <c r="D26" s="5">
        <v>3</v>
      </c>
      <c r="E26" s="5">
        <v>9</v>
      </c>
      <c r="F26" s="5">
        <v>1</v>
      </c>
      <c r="H26">
        <f t="shared" si="4"/>
        <v>3.9362834270353515</v>
      </c>
      <c r="I26">
        <f t="shared" si="5"/>
        <v>0.51003872501686387</v>
      </c>
    </row>
    <row r="27" spans="1:11" x14ac:dyDescent="0.3">
      <c r="A27" t="s">
        <v>5</v>
      </c>
      <c r="H27">
        <f>SUM(H22:H26)</f>
        <v>7.7176167886177716</v>
      </c>
    </row>
    <row r="30" spans="1:11" x14ac:dyDescent="0.3">
      <c r="A30" s="1" t="s">
        <v>19</v>
      </c>
      <c r="B30" s="1"/>
      <c r="C30" s="1"/>
      <c r="D30" s="1"/>
      <c r="E30" s="1"/>
      <c r="F30" s="1"/>
    </row>
    <row r="31" spans="1:11" x14ac:dyDescent="0.3">
      <c r="A31" s="6"/>
      <c r="B31" s="6" t="s">
        <v>8</v>
      </c>
      <c r="C31" s="6" t="s">
        <v>9</v>
      </c>
      <c r="D31" s="6" t="s">
        <v>10</v>
      </c>
      <c r="E31" s="6" t="s">
        <v>11</v>
      </c>
      <c r="F31" s="6" t="s">
        <v>12</v>
      </c>
      <c r="H31" t="s">
        <v>4</v>
      </c>
      <c r="I31" t="s">
        <v>20</v>
      </c>
      <c r="J31" t="s">
        <v>17</v>
      </c>
      <c r="K31" t="s">
        <v>18</v>
      </c>
    </row>
    <row r="32" spans="1:11" x14ac:dyDescent="0.3">
      <c r="A32" s="6" t="s">
        <v>8</v>
      </c>
      <c r="B32" s="5">
        <v>1</v>
      </c>
      <c r="C32" s="5">
        <v>7</v>
      </c>
      <c r="D32" s="5">
        <v>3</v>
      </c>
      <c r="E32" s="7">
        <v>0.33333333333333331</v>
      </c>
      <c r="F32" s="5">
        <v>5</v>
      </c>
      <c r="H32" s="3">
        <f>GEOMEAN(B32:F32)</f>
        <v>2.0361680046403978</v>
      </c>
      <c r="I32">
        <f>H32/$H$37</f>
        <v>0.26383377931428448</v>
      </c>
      <c r="J32">
        <f>MAX(I32:I36)</f>
        <v>0.51003872501686387</v>
      </c>
      <c r="K32">
        <f>MIN(I32:I36)</f>
        <v>3.291777163618214E-2</v>
      </c>
    </row>
    <row r="33" spans="1:9" x14ac:dyDescent="0.3">
      <c r="A33" s="6" t="s">
        <v>9</v>
      </c>
      <c r="B33" s="7">
        <v>0.14285714285714285</v>
      </c>
      <c r="C33" s="5">
        <v>1</v>
      </c>
      <c r="D33" s="7">
        <v>0.2</v>
      </c>
      <c r="E33" s="7">
        <v>0.1111111111111111</v>
      </c>
      <c r="F33" s="7">
        <v>0.33333333333333331</v>
      </c>
      <c r="H33" s="3">
        <f t="shared" ref="H33:H36" si="6">GEOMEAN(B33:F33)</f>
        <v>0.25404674702328517</v>
      </c>
      <c r="I33">
        <f t="shared" ref="I33:I37" si="7">H33/$H$37</f>
        <v>3.291777163618214E-2</v>
      </c>
    </row>
    <row r="34" spans="1:9" x14ac:dyDescent="0.3">
      <c r="A34" s="6" t="s">
        <v>10</v>
      </c>
      <c r="B34" s="7">
        <v>0.33333333333333331</v>
      </c>
      <c r="C34" s="5">
        <v>5</v>
      </c>
      <c r="D34" s="5">
        <v>1</v>
      </c>
      <c r="E34" s="7">
        <v>0.2</v>
      </c>
      <c r="F34" s="5">
        <v>3</v>
      </c>
      <c r="H34" s="3">
        <f t="shared" si="6"/>
        <v>1</v>
      </c>
      <c r="I34">
        <f t="shared" si="7"/>
        <v>0.12957367894643812</v>
      </c>
    </row>
    <row r="35" spans="1:9" x14ac:dyDescent="0.3">
      <c r="A35" s="6" t="s">
        <v>11</v>
      </c>
      <c r="B35" s="5">
        <v>3</v>
      </c>
      <c r="C35" s="5">
        <v>9</v>
      </c>
      <c r="D35" s="5">
        <v>5</v>
      </c>
      <c r="E35" s="5">
        <v>1</v>
      </c>
      <c r="F35" s="5">
        <v>7</v>
      </c>
      <c r="H35" s="3">
        <f t="shared" si="6"/>
        <v>3.9362834270353515</v>
      </c>
      <c r="I35">
        <f t="shared" si="7"/>
        <v>0.51003872501686387</v>
      </c>
    </row>
    <row r="36" spans="1:9" x14ac:dyDescent="0.3">
      <c r="A36" s="6" t="s">
        <v>12</v>
      </c>
      <c r="B36" s="7">
        <v>0.2</v>
      </c>
      <c r="C36" s="5">
        <v>3</v>
      </c>
      <c r="D36" s="7">
        <v>0.33333333333333331</v>
      </c>
      <c r="E36" s="7">
        <v>0.14285714285714285</v>
      </c>
      <c r="F36" s="5">
        <v>1</v>
      </c>
      <c r="H36" s="3">
        <f t="shared" si="6"/>
        <v>0.49111860991873663</v>
      </c>
      <c r="I36">
        <f t="shared" si="7"/>
        <v>6.3636045086231371E-2</v>
      </c>
    </row>
    <row r="37" spans="1:9" x14ac:dyDescent="0.3">
      <c r="A37" t="s">
        <v>5</v>
      </c>
      <c r="F37" s="3"/>
      <c r="H37" s="3">
        <f>SUM(H32:H36)</f>
        <v>7.7176167886177716</v>
      </c>
    </row>
  </sheetData>
  <mergeCells count="3">
    <mergeCell ref="A10:F10"/>
    <mergeCell ref="A20:F20"/>
    <mergeCell ref="A30:F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2024-02-11T20:11:16Z</dcterms:modified>
</cp:coreProperties>
</file>