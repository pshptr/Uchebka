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849E0872-90A0-DF49-A605-6DDCA017CC6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Метод Саати" sheetId="1" r:id="rId1"/>
    <sheet name="Метод предпочтений" sheetId="2" r:id="rId2"/>
    <sheet name="Метод ранг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3" i="3" l="1"/>
  <c r="V26" i="3" s="1"/>
  <c r="S12" i="3"/>
  <c r="W25" i="3" s="1"/>
  <c r="S11" i="3"/>
  <c r="W24" i="3" s="1"/>
  <c r="S10" i="3"/>
  <c r="W23" i="3" s="1"/>
  <c r="K21" i="3"/>
  <c r="K20" i="3"/>
  <c r="K19" i="3"/>
  <c r="K18" i="3"/>
  <c r="T21" i="2"/>
  <c r="S17" i="2"/>
  <c r="S13" i="2"/>
  <c r="U21" i="2" s="1"/>
  <c r="S12" i="2"/>
  <c r="S11" i="2"/>
  <c r="S21" i="2" s="1"/>
  <c r="S10" i="2"/>
  <c r="R21" i="2" s="1"/>
  <c r="M21" i="2"/>
  <c r="M22" i="2"/>
  <c r="N21" i="2"/>
  <c r="N22" i="2"/>
  <c r="N20" i="2"/>
  <c r="K29" i="2" s="1"/>
  <c r="M20" i="2"/>
  <c r="K28" i="2" s="1"/>
  <c r="L21" i="2"/>
  <c r="L22" i="2"/>
  <c r="L20" i="2"/>
  <c r="K27" i="2" s="1"/>
  <c r="K21" i="2"/>
  <c r="K22" i="2"/>
  <c r="K20" i="2"/>
  <c r="K26" i="2" s="1"/>
  <c r="S15" i="1"/>
  <c r="S14" i="1"/>
  <c r="S13" i="1"/>
  <c r="S12" i="1"/>
  <c r="K21" i="1"/>
  <c r="K22" i="1"/>
  <c r="K23" i="1"/>
  <c r="K20" i="1"/>
  <c r="K33" i="2" l="1"/>
  <c r="K39" i="2" s="1"/>
  <c r="O44" i="2" s="1"/>
  <c r="K37" i="2"/>
  <c r="S23" i="2"/>
  <c r="S27" i="2" s="1"/>
  <c r="U26" i="3"/>
  <c r="W26" i="3"/>
  <c r="U25" i="3"/>
  <c r="V23" i="3"/>
  <c r="U23" i="3"/>
  <c r="S23" i="3" s="1"/>
  <c r="K25" i="3"/>
  <c r="K31" i="3" s="1"/>
  <c r="N36" i="3" s="1"/>
  <c r="S17" i="3"/>
  <c r="V25" i="3"/>
  <c r="S18" i="3"/>
  <c r="S19" i="3"/>
  <c r="V24" i="3"/>
  <c r="U24" i="3"/>
  <c r="K26" i="1"/>
  <c r="S26" i="3" l="1"/>
  <c r="S25" i="3"/>
  <c r="K38" i="2"/>
  <c r="K40" i="2"/>
  <c r="K32" i="3"/>
  <c r="K29" i="3"/>
  <c r="K30" i="3"/>
  <c r="S24" i="3"/>
  <c r="K30" i="1"/>
  <c r="K29" i="1"/>
  <c r="K31" i="1"/>
  <c r="K32" i="1"/>
  <c r="O35" i="1" l="1"/>
  <c r="S18" i="1"/>
  <c r="S21" i="1" s="1"/>
  <c r="S27" i="1" s="1"/>
</calcChain>
</file>

<file path=xl/sharedStrings.xml><?xml version="1.0" encoding="utf-8"?>
<sst xmlns="http://schemas.openxmlformats.org/spreadsheetml/2006/main" count="161" uniqueCount="108">
  <si>
    <t xml:space="preserve">1) постройка крупной гидроэлектростанции (ГЭС) (А1); </t>
  </si>
  <si>
    <t xml:space="preserve">2) постройка нескольких мелких ГЭС (А2); </t>
  </si>
  <si>
    <t xml:space="preserve">3) постройка атомной электростанции (АЭС) (А3); </t>
  </si>
  <si>
    <t>4) отказ от строительства электростанций и импорт энергии (А4).</t>
  </si>
  <si>
    <t>Мнение первого эксперта:</t>
  </si>
  <si>
    <t>Варианты:</t>
  </si>
  <si>
    <t>Лучший вариант - постройка АЭС</t>
  </si>
  <si>
    <t>Значительно хуже - постройка нескольких мелких ГЭС</t>
  </si>
  <si>
    <t>Еще немного хуже - постройка крупной ГЭС</t>
  </si>
  <si>
    <t>Самый худший вариант - импорт энергии</t>
  </si>
  <si>
    <t>1) Заполним матрицу парных сравнений</t>
  </si>
  <si>
    <t>А</t>
  </si>
  <si>
    <t>С1</t>
  </si>
  <si>
    <t>С2</t>
  </si>
  <si>
    <t>С3</t>
  </si>
  <si>
    <t>С4</t>
  </si>
  <si>
    <t>С</t>
  </si>
  <si>
    <t>V1</t>
  </si>
  <si>
    <t>V2</t>
  </si>
  <si>
    <t>V3</t>
  </si>
  <si>
    <t>V4</t>
  </si>
  <si>
    <t xml:space="preserve">Наиболее предподчительная альтернатива - </t>
  </si>
  <si>
    <t>Веса вариантов решения, используя алгоритм Саати</t>
  </si>
  <si>
    <t>Проверку экспертных оценок на непротиворечивость</t>
  </si>
  <si>
    <t>R1</t>
  </si>
  <si>
    <t>R2</t>
  </si>
  <si>
    <t>R3</t>
  </si>
  <si>
    <t>R4</t>
  </si>
  <si>
    <t>D</t>
  </si>
  <si>
    <t>ИС</t>
  </si>
  <si>
    <t>СлС</t>
  </si>
  <si>
    <t>ОС</t>
  </si>
  <si>
    <t>5) Находим отношение согласованности</t>
  </si>
  <si>
    <t>6) Сделаем вывод:</t>
  </si>
  <si>
    <t>1) Находим сумму столбцов матрицы парных сравнений</t>
  </si>
  <si>
    <t xml:space="preserve">2) Рассчитаем вспомогательную величину </t>
  </si>
  <si>
    <t>3) Рассчитаем индекс согласованности:</t>
  </si>
  <si>
    <t>4) Возьмем значение СлС из таблицы</t>
  </si>
  <si>
    <t>2) Рассчитаем цены альтернатив</t>
  </si>
  <si>
    <t>3) Найдем сумму цен альтернатив</t>
  </si>
  <si>
    <t>4) Определим вес каждой альтернативы</t>
  </si>
  <si>
    <t>5) Сделаем вывод</t>
  </si>
  <si>
    <t>Отношение согласованности не превышает 0.2, следовательно уточнение матрицы парных сравнений не требуется</t>
  </si>
  <si>
    <t>Мнения экспертов</t>
  </si>
  <si>
    <t>первый эксперт: лучший вариант - постройка АЭС, значительно хуже - постройка нескольких мелких ГЭС, еще немного хуже - постройка крупной ГЭС, самый худший вариант - импорт энергии;</t>
  </si>
  <si>
    <t>второй эксперт: лучший вариант - постройка крупной ГЭС, немного хуже - постройка АЭС, значительно хуже - импорт энергии, самый худший - постройка мелких ГЭС;</t>
  </si>
  <si>
    <t>третий эксперт: лучший вариант - постройка АЭС, хуже - импорт энергии, еще хуже - постройка мелких ГЭС, самый худший - постройка крупной ГЭС.</t>
  </si>
  <si>
    <t>M</t>
  </si>
  <si>
    <t>N</t>
  </si>
  <si>
    <t>1) Составим матрицу экспертных оценок</t>
  </si>
  <si>
    <t>Эксперты</t>
  </si>
  <si>
    <t>A1</t>
  </si>
  <si>
    <t>A2</t>
  </si>
  <si>
    <t>A3</t>
  </si>
  <si>
    <t>A4</t>
  </si>
  <si>
    <t>Альтернативы</t>
  </si>
  <si>
    <t>2) Составим преобразованную матрицу экспертных оценок</t>
  </si>
  <si>
    <t>3) Находим суммы преобразованных оценок по каждой из альтернатив</t>
  </si>
  <si>
    <t>4) Находим сумму всех оценок:</t>
  </si>
  <si>
    <t>4) Находим веса альтернатив:</t>
  </si>
  <si>
    <t>5) Находим веса альтернатив:</t>
  </si>
  <si>
    <t>Проверка согласованности экспертных оценок</t>
  </si>
  <si>
    <t>1) Находим суммы оценок, указанных экспертами для каждой из альтернатив</t>
  </si>
  <si>
    <t>S1</t>
  </si>
  <si>
    <t>S2</t>
  </si>
  <si>
    <t>S3</t>
  </si>
  <si>
    <t>S4</t>
  </si>
  <si>
    <t>2) Находим вспомогательную величину А</t>
  </si>
  <si>
    <t>3) Находим вспомогательную величину S</t>
  </si>
  <si>
    <t>S</t>
  </si>
  <si>
    <t>4) Находим коэффициент конкордации</t>
  </si>
  <si>
    <t>W</t>
  </si>
  <si>
    <t>5) Сделаем вывод:</t>
  </si>
  <si>
    <t xml:space="preserve">2) Находим суммарные оценки альтернатив </t>
  </si>
  <si>
    <t>3) Находим суммы всех оценок</t>
  </si>
  <si>
    <t>1) Находим средние оценки каждой альтернативы:</t>
  </si>
  <si>
    <t>X1</t>
  </si>
  <si>
    <t>X2</t>
  </si>
  <si>
    <t>X3</t>
  </si>
  <si>
    <t>X4</t>
  </si>
  <si>
    <t>DЭ1</t>
  </si>
  <si>
    <t>DЭ2</t>
  </si>
  <si>
    <t>DЭ3</t>
  </si>
  <si>
    <t>2) Находятся дисперсию оценок каждого эксперта</t>
  </si>
  <si>
    <t>3) Находим дисперсию оценок каждой альтернативы</t>
  </si>
  <si>
    <t>DA1</t>
  </si>
  <si>
    <t>DA2</t>
  </si>
  <si>
    <t>DA3</t>
  </si>
  <si>
    <t>DA4</t>
  </si>
  <si>
    <t>4) Сделаем вывод</t>
  </si>
  <si>
    <t>В</t>
  </si>
  <si>
    <t>Условие:</t>
  </si>
  <si>
    <t>Возможные альтернативы:</t>
  </si>
  <si>
    <t>Постройка крупной гидроэлектростанции (ГЭС)</t>
  </si>
  <si>
    <t xml:space="preserve">Постройка атомной электростанции (АЭС) </t>
  </si>
  <si>
    <t>Постройка нескольких мелких ГЭС</t>
  </si>
  <si>
    <t>Отказ от строительства электростанций и импорт энергии</t>
  </si>
  <si>
    <t>Решение:</t>
  </si>
  <si>
    <r>
      <t>А</t>
    </r>
    <r>
      <rPr>
        <b/>
        <sz val="9"/>
        <color theme="0"/>
        <rFont val="Calibri"/>
        <family val="2"/>
        <scheme val="minor"/>
      </rPr>
      <t>1</t>
    </r>
  </si>
  <si>
    <r>
      <t>А</t>
    </r>
    <r>
      <rPr>
        <b/>
        <sz val="9"/>
        <color theme="0"/>
        <rFont val="Calibri"/>
        <family val="2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</si>
  <si>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А</t>
    </r>
    <r>
      <rPr>
        <b/>
        <sz val="9"/>
        <color theme="0"/>
        <rFont val="Calibri"/>
        <family val="2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</si>
  <si>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А</t>
    </r>
    <r>
      <rPr>
        <b/>
        <sz val="9"/>
        <color theme="0"/>
        <rFont val="Calibri"/>
        <family val="2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</si>
  <si>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 xml:space="preserve">Наиболее предподчительная альтернатива       - </t>
  </si>
  <si>
    <t>По мнению эксперта наиболее эффективным решением является:</t>
  </si>
  <si>
    <t xml:space="preserve">А2 - постройка нескольких мелких ГЭС </t>
  </si>
  <si>
    <t>А3 - постройка атомной электростанции (АЭС)</t>
  </si>
  <si>
    <t>А1 - постройка крупной гидроэлектростанции (ГЭС)</t>
  </si>
  <si>
    <t xml:space="preserve">А4 - отказ от строительства электростанций и импорт энергии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</si>
</sst>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7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sz val="26"/>
      <color theme="0"/>
      <name val="Calibri"/>
      <family val="2"/>
      <charset val="204"/>
      <scheme val="minor"/>
    </font>
    <font>
      <b/>
      <sz val="72"/>
      <color theme="0"/>
      <name val="Calibri"/>
      <family val="2"/>
      <charset val="204"/>
      <scheme val="minor"/>
    </font>
    <font>
      <b/>
      <sz val="14"/>
      <color theme="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5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right"/>
    </xf>
    <xf numFmtId="49" fontId="8" fillId="2" borderId="0" xfId="0" applyNumberFormat="1" applyFont="1" applyFill="1" applyAlignment="1">
      <alignment horizontal="right"/>
    </xf>
    <xf numFmtId="2" fontId="8" fillId="2" borderId="0" xfId="0" applyNumberFormat="1" applyFont="1" applyFill="1"/>
    <xf numFmtId="164" fontId="8" fillId="2" borderId="0" xfId="0" applyNumberFormat="1" applyFont="1" applyFill="1"/>
    <xf numFmtId="0" fontId="3" fillId="2" borderId="0" xfId="0" applyFont="1" applyFill="1"/>
    <xf numFmtId="49" fontId="0" fillId="2" borderId="0" xfId="0" applyNumberFormat="1" applyFill="1" applyAlignment="1">
      <alignment horizontal="right"/>
    </xf>
    <xf numFmtId="0" fontId="6" fillId="2" borderId="0" xfId="0" applyFont="1" applyFill="1"/>
    <xf numFmtId="1" fontId="9" fillId="2" borderId="10" xfId="0" applyNumberFormat="1" applyFont="1" applyFill="1" applyBorder="1" applyAlignment="1">
      <alignment horizontal="center" vertical="center"/>
    </xf>
    <xf numFmtId="12" fontId="9" fillId="2" borderId="10" xfId="0" applyNumberFormat="1" applyFont="1" applyFill="1" applyBorder="1" applyAlignment="1">
      <alignment horizontal="center" vertical="center"/>
    </xf>
    <xf numFmtId="49" fontId="12" fillId="2" borderId="1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49" fontId="12" fillId="2" borderId="14" xfId="0" applyNumberFormat="1" applyFont="1" applyFill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 vertical="center"/>
    </xf>
    <xf numFmtId="49" fontId="12" fillId="2" borderId="16" xfId="0" applyNumberFormat="1" applyFont="1" applyFill="1" applyBorder="1" applyAlignment="1">
      <alignment horizontal="center" vertical="center"/>
    </xf>
    <xf numFmtId="12" fontId="9" fillId="2" borderId="17" xfId="0" applyNumberFormat="1" applyFont="1" applyFill="1" applyBorder="1" applyAlignment="1">
      <alignment horizontal="center" vertical="center"/>
    </xf>
    <xf numFmtId="1" fontId="9" fillId="2" borderId="18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12" fontId="4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wrapText="1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"/>
  <sheetViews>
    <sheetView topLeftCell="A6" zoomScale="75" zoomScaleNormal="70" workbookViewId="0">
      <selection activeCell="P16" sqref="P16"/>
    </sheetView>
  </sheetViews>
  <sheetFormatPr baseColWidth="10" defaultColWidth="8.83203125" defaultRowHeight="15" x14ac:dyDescent="0.2"/>
  <cols>
    <col min="2" max="2" width="3.33203125" customWidth="1"/>
    <col min="3" max="3" width="10.83203125" customWidth="1"/>
    <col min="4" max="5" width="10.6640625" customWidth="1"/>
    <col min="6" max="6" width="9.1640625" bestFit="1" customWidth="1"/>
    <col min="12" max="12" width="9.5" bestFit="1" customWidth="1"/>
  </cols>
  <sheetData>
    <row r="1" spans="1:34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4.5" customHeight="1" x14ac:dyDescent="0.2">
      <c r="A2" s="13"/>
      <c r="B2" s="13"/>
      <c r="C2" s="39"/>
      <c r="D2" s="39"/>
      <c r="E2" s="39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4.5" customHeight="1" x14ac:dyDescent="0.2">
      <c r="A3" s="13"/>
      <c r="B3" s="13"/>
      <c r="C3" s="39"/>
      <c r="D3" s="39"/>
      <c r="E3" s="39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5"/>
      <c r="AD3" s="13"/>
      <c r="AE3" s="13"/>
      <c r="AF3" s="13"/>
      <c r="AG3" s="13"/>
      <c r="AH3" s="13"/>
    </row>
    <row r="4" spans="1:34" ht="14.5" customHeight="1" x14ac:dyDescent="0.2">
      <c r="A4" s="13"/>
      <c r="B4" s="13"/>
      <c r="C4" s="39"/>
      <c r="D4" s="39"/>
      <c r="E4" s="39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3"/>
      <c r="AE4" s="13"/>
      <c r="AF4" s="13"/>
      <c r="AG4" s="13"/>
      <c r="AH4" s="13"/>
    </row>
    <row r="5" spans="1:34" ht="14.5" customHeight="1" x14ac:dyDescent="0.2">
      <c r="A5" s="13"/>
      <c r="B5" s="44" t="s">
        <v>91</v>
      </c>
      <c r="C5" s="44"/>
      <c r="D5" s="44"/>
      <c r="E5" s="44"/>
      <c r="F5" s="44"/>
      <c r="G5" s="44"/>
      <c r="H5" s="44" t="s">
        <v>97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13"/>
      <c r="Z5" s="13"/>
      <c r="AA5" s="13"/>
      <c r="AB5" s="13"/>
      <c r="AC5" s="15"/>
      <c r="AD5" s="13"/>
      <c r="AE5" s="13"/>
      <c r="AF5" s="13"/>
      <c r="AG5" s="13"/>
      <c r="AH5" s="13"/>
    </row>
    <row r="6" spans="1:34" ht="14.5" customHeight="1" x14ac:dyDescent="0.2">
      <c r="A6" s="13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13"/>
      <c r="Z6" s="13"/>
      <c r="AA6" s="13"/>
      <c r="AB6" s="13"/>
      <c r="AC6" s="15"/>
      <c r="AD6" s="13"/>
      <c r="AE6" s="13"/>
      <c r="AF6" s="13"/>
      <c r="AG6" s="13"/>
      <c r="AH6" s="13"/>
    </row>
    <row r="7" spans="1:34" ht="14.5" customHeight="1" x14ac:dyDescent="0.2">
      <c r="A7" s="1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5.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8" customHeight="1" x14ac:dyDescent="0.25">
      <c r="A9" s="13"/>
      <c r="B9" s="53" t="s">
        <v>92</v>
      </c>
      <c r="C9" s="53"/>
      <c r="D9" s="53"/>
      <c r="E9" s="53"/>
      <c r="F9" s="53"/>
      <c r="G9" s="53"/>
      <c r="H9" s="13"/>
      <c r="I9" s="47" t="s">
        <v>22</v>
      </c>
      <c r="J9" s="47"/>
      <c r="K9" s="47"/>
      <c r="L9" s="47"/>
      <c r="M9" s="47"/>
      <c r="N9" s="47"/>
      <c r="O9" s="47"/>
      <c r="P9" s="13"/>
      <c r="Q9" s="47" t="s">
        <v>23</v>
      </c>
      <c r="R9" s="47"/>
      <c r="S9" s="47"/>
      <c r="T9" s="47"/>
      <c r="U9" s="47"/>
      <c r="V9" s="47"/>
      <c r="W9" s="47"/>
      <c r="X9" s="47"/>
      <c r="Y9" s="13"/>
      <c r="Z9" s="13"/>
      <c r="AA9" s="13"/>
      <c r="AB9" s="13"/>
      <c r="AC9" s="49"/>
      <c r="AD9" s="49"/>
      <c r="AE9" s="49"/>
      <c r="AF9" s="49"/>
      <c r="AG9" s="49"/>
      <c r="AH9" s="49"/>
    </row>
    <row r="10" spans="1:34" ht="16" x14ac:dyDescent="0.2">
      <c r="A10" s="13"/>
      <c r="B10" s="14" t="s">
        <v>51</v>
      </c>
      <c r="C10" s="50" t="s">
        <v>93</v>
      </c>
      <c r="D10" s="50"/>
      <c r="E10" s="50"/>
      <c r="F10" s="50"/>
      <c r="G10" s="50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37"/>
      <c r="AB10" s="38"/>
      <c r="AC10" s="38"/>
      <c r="AD10" s="37"/>
      <c r="AE10" s="13"/>
      <c r="AF10" s="13"/>
      <c r="AG10" s="13"/>
      <c r="AH10" s="13"/>
    </row>
    <row r="11" spans="1:34" ht="16" x14ac:dyDescent="0.2">
      <c r="A11" s="13"/>
      <c r="B11" s="14" t="s">
        <v>52</v>
      </c>
      <c r="C11" s="50" t="s">
        <v>95</v>
      </c>
      <c r="D11" s="50"/>
      <c r="E11" s="50"/>
      <c r="F11" s="50"/>
      <c r="G11" s="50"/>
      <c r="H11" s="13"/>
      <c r="I11" s="13"/>
      <c r="J11" s="23" t="s">
        <v>10</v>
      </c>
      <c r="K11" s="13"/>
      <c r="L11" s="13"/>
      <c r="M11" s="13"/>
      <c r="N11" s="13"/>
      <c r="O11" s="13"/>
      <c r="P11" s="13"/>
      <c r="Q11" s="13"/>
      <c r="R11" s="23" t="s">
        <v>34</v>
      </c>
      <c r="S11" s="13"/>
      <c r="T11" s="13"/>
      <c r="U11" s="13"/>
      <c r="V11" s="13"/>
      <c r="W11" s="13"/>
      <c r="X11" s="13"/>
      <c r="Y11" s="13"/>
      <c r="Z11" s="13"/>
      <c r="AA11" s="37"/>
      <c r="AB11" s="37"/>
      <c r="AC11" s="38"/>
      <c r="AD11" s="37"/>
      <c r="AE11" s="13"/>
      <c r="AF11" s="13"/>
      <c r="AG11" s="13"/>
      <c r="AH11" s="13"/>
    </row>
    <row r="12" spans="1:34" ht="17" thickBot="1" x14ac:dyDescent="0.25">
      <c r="A12" s="13"/>
      <c r="B12" s="14" t="s">
        <v>53</v>
      </c>
      <c r="C12" s="50" t="s">
        <v>94</v>
      </c>
      <c r="D12" s="50"/>
      <c r="E12" s="50"/>
      <c r="F12" s="50"/>
      <c r="G12" s="50"/>
      <c r="H12" s="16"/>
      <c r="I12" s="13"/>
      <c r="J12" s="16"/>
      <c r="K12" s="16"/>
      <c r="L12" s="16"/>
      <c r="M12" s="16"/>
      <c r="N12" s="16"/>
      <c r="O12" s="16"/>
      <c r="P12" s="13"/>
      <c r="Q12" s="13"/>
      <c r="R12" s="16" t="s">
        <v>24</v>
      </c>
      <c r="S12" s="22">
        <f>SUM(K14:K17)</f>
        <v>7.333333333333333</v>
      </c>
      <c r="T12" s="16"/>
      <c r="U12" s="16"/>
      <c r="V12" s="16"/>
      <c r="W12" s="16"/>
      <c r="X12" s="13"/>
      <c r="Y12" s="13"/>
      <c r="Z12" s="13"/>
      <c r="AA12" s="38"/>
      <c r="AB12" s="38"/>
      <c r="AC12" s="13"/>
      <c r="AD12" s="13"/>
      <c r="AE12" s="13"/>
      <c r="AF12" s="13"/>
      <c r="AG12" s="13"/>
      <c r="AH12" s="13"/>
    </row>
    <row r="13" spans="1:34" ht="15.5" customHeight="1" x14ac:dyDescent="0.2">
      <c r="A13" s="13"/>
      <c r="B13" s="52" t="s">
        <v>54</v>
      </c>
      <c r="C13" s="51" t="s">
        <v>96</v>
      </c>
      <c r="D13" s="51"/>
      <c r="E13" s="51"/>
      <c r="F13" s="51"/>
      <c r="G13" s="51"/>
      <c r="H13" s="16"/>
      <c r="I13" s="13"/>
      <c r="J13" s="28"/>
      <c r="K13" s="29" t="s">
        <v>98</v>
      </c>
      <c r="L13" s="29" t="s">
        <v>99</v>
      </c>
      <c r="M13" s="29" t="s">
        <v>100</v>
      </c>
      <c r="N13" s="30" t="s">
        <v>101</v>
      </c>
      <c r="O13" s="16"/>
      <c r="P13" s="13"/>
      <c r="Q13" s="13"/>
      <c r="R13" s="16" t="s">
        <v>25</v>
      </c>
      <c r="S13" s="22">
        <f>SUM(L14:L17)</f>
        <v>6.4</v>
      </c>
      <c r="T13" s="16"/>
      <c r="U13" s="16"/>
      <c r="V13" s="16"/>
      <c r="W13" s="16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ht="16" x14ac:dyDescent="0.2">
      <c r="A14" s="13"/>
      <c r="B14" s="52"/>
      <c r="C14" s="51"/>
      <c r="D14" s="51"/>
      <c r="E14" s="51"/>
      <c r="F14" s="51"/>
      <c r="G14" s="51"/>
      <c r="H14" s="16"/>
      <c r="I14" s="13"/>
      <c r="J14" s="31" t="s">
        <v>98</v>
      </c>
      <c r="K14" s="26">
        <v>1</v>
      </c>
      <c r="L14" s="27">
        <v>0.2</v>
      </c>
      <c r="M14" s="27">
        <v>0.14285714285714285</v>
      </c>
      <c r="N14" s="32">
        <v>5</v>
      </c>
      <c r="O14" s="16"/>
      <c r="P14" s="13"/>
      <c r="Q14" s="13"/>
      <c r="R14" s="16" t="s">
        <v>26</v>
      </c>
      <c r="S14" s="22">
        <f>SUM(M14:M17)</f>
        <v>1.3968253968253967</v>
      </c>
      <c r="T14" s="16"/>
      <c r="U14" s="16"/>
      <c r="V14" s="16"/>
      <c r="W14" s="16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16" x14ac:dyDescent="0.2">
      <c r="A15" s="13"/>
      <c r="B15" s="13"/>
      <c r="C15" s="13"/>
      <c r="D15" s="13"/>
      <c r="E15" s="13"/>
      <c r="F15" s="13"/>
      <c r="G15" s="13"/>
      <c r="H15" s="16"/>
      <c r="I15" s="13"/>
      <c r="J15" s="31" t="s">
        <v>99</v>
      </c>
      <c r="K15" s="26">
        <v>3</v>
      </c>
      <c r="L15" s="26">
        <v>1</v>
      </c>
      <c r="M15" s="27">
        <v>0.14285714285714285</v>
      </c>
      <c r="N15" s="32">
        <v>7</v>
      </c>
      <c r="O15" s="16"/>
      <c r="P15" s="13"/>
      <c r="Q15" s="13"/>
      <c r="R15" s="16" t="s">
        <v>27</v>
      </c>
      <c r="S15" s="22">
        <f>SUM(N14:N17)</f>
        <v>22</v>
      </c>
      <c r="T15" s="16"/>
      <c r="U15" s="16"/>
      <c r="V15" s="16"/>
      <c r="W15" s="16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ht="16" x14ac:dyDescent="0.2">
      <c r="A16" s="13"/>
      <c r="B16" s="48" t="s">
        <v>4</v>
      </c>
      <c r="C16" s="49"/>
      <c r="D16" s="49"/>
      <c r="E16" s="49"/>
      <c r="F16" s="49"/>
      <c r="G16" s="49"/>
      <c r="H16" s="16"/>
      <c r="I16" s="13"/>
      <c r="J16" s="31" t="s">
        <v>100</v>
      </c>
      <c r="K16" s="26">
        <v>3</v>
      </c>
      <c r="L16" s="26">
        <v>5</v>
      </c>
      <c r="M16" s="26">
        <v>1</v>
      </c>
      <c r="N16" s="32">
        <v>9</v>
      </c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7" thickBot="1" x14ac:dyDescent="0.25">
      <c r="A17" s="13"/>
      <c r="B17" s="18">
        <v>1</v>
      </c>
      <c r="C17" s="50" t="s">
        <v>6</v>
      </c>
      <c r="D17" s="50"/>
      <c r="E17" s="50"/>
      <c r="F17" s="50"/>
      <c r="G17" s="50"/>
      <c r="H17" s="16"/>
      <c r="I17" s="13"/>
      <c r="J17" s="33" t="s">
        <v>101</v>
      </c>
      <c r="K17" s="34">
        <v>0.33333333333333331</v>
      </c>
      <c r="L17" s="34">
        <v>0.2</v>
      </c>
      <c r="M17" s="34">
        <v>0.1111111111111111</v>
      </c>
      <c r="N17" s="35">
        <v>1</v>
      </c>
      <c r="O17" s="16"/>
      <c r="P17" s="13"/>
      <c r="Q17" s="13"/>
      <c r="R17" s="23" t="s">
        <v>35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ht="16" x14ac:dyDescent="0.2">
      <c r="A18" s="13"/>
      <c r="B18" s="18">
        <v>2</v>
      </c>
      <c r="C18" s="50" t="s">
        <v>7</v>
      </c>
      <c r="D18" s="50"/>
      <c r="E18" s="50"/>
      <c r="F18" s="50"/>
      <c r="G18" s="50"/>
      <c r="H18" s="16"/>
      <c r="I18" s="13"/>
      <c r="J18" s="16"/>
      <c r="K18" s="16"/>
      <c r="L18" s="16"/>
      <c r="M18" s="16"/>
      <c r="N18" s="16"/>
      <c r="O18" s="16"/>
      <c r="P18" s="13"/>
      <c r="Q18" s="13"/>
      <c r="R18" s="16" t="s">
        <v>28</v>
      </c>
      <c r="S18" s="21">
        <f>SUMPRODUCT(S12:S15,K29:K32)</f>
        <v>4.2867461387787476</v>
      </c>
      <c r="T18" s="16"/>
      <c r="U18" s="16"/>
      <c r="V18" s="16"/>
      <c r="W18" s="16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ht="16" x14ac:dyDescent="0.2">
      <c r="A19" s="13"/>
      <c r="B19" s="18">
        <v>3</v>
      </c>
      <c r="C19" s="50" t="s">
        <v>8</v>
      </c>
      <c r="D19" s="50"/>
      <c r="E19" s="50"/>
      <c r="F19" s="50"/>
      <c r="G19" s="50"/>
      <c r="H19" s="13"/>
      <c r="I19" s="13"/>
      <c r="J19" s="46" t="s">
        <v>38</v>
      </c>
      <c r="K19" s="46"/>
      <c r="L19" s="46"/>
      <c r="M19" s="46"/>
      <c r="N19" s="46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ht="16" x14ac:dyDescent="0.2">
      <c r="A20" s="13"/>
      <c r="B20" s="18">
        <v>4</v>
      </c>
      <c r="C20" s="50" t="s">
        <v>9</v>
      </c>
      <c r="D20" s="50"/>
      <c r="E20" s="50"/>
      <c r="F20" s="50"/>
      <c r="G20" s="50"/>
      <c r="H20" s="13"/>
      <c r="I20" s="13"/>
      <c r="J20" s="17" t="s">
        <v>12</v>
      </c>
      <c r="K20" s="19">
        <f>POWER(PRODUCT(K14:N14), 1/4)</f>
        <v>0.61478815295126432</v>
      </c>
      <c r="L20" s="24"/>
      <c r="M20" s="13"/>
      <c r="N20" s="13"/>
      <c r="O20" s="13"/>
      <c r="P20" s="13"/>
      <c r="Q20" s="13"/>
      <c r="R20" s="23" t="s">
        <v>36</v>
      </c>
      <c r="S20" s="13"/>
      <c r="T20" s="13"/>
      <c r="U20" s="13"/>
      <c r="V20" s="13"/>
      <c r="W20" s="13"/>
      <c r="X20" s="13"/>
      <c r="Y20" s="13"/>
      <c r="Z20" s="13"/>
      <c r="AA20" s="15"/>
      <c r="AB20" s="13"/>
      <c r="AC20" s="13"/>
      <c r="AD20" s="13"/>
      <c r="AE20" s="13"/>
      <c r="AF20" s="13"/>
      <c r="AG20" s="13"/>
      <c r="AH20" s="13"/>
    </row>
    <row r="21" spans="1:34" x14ac:dyDescent="0.2">
      <c r="A21" s="13"/>
      <c r="B21" s="13"/>
      <c r="C21" s="13"/>
      <c r="D21" s="13"/>
      <c r="E21" s="13"/>
      <c r="F21" s="13"/>
      <c r="G21" s="13"/>
      <c r="H21" s="16"/>
      <c r="I21" s="13"/>
      <c r="J21" s="17" t="s">
        <v>13</v>
      </c>
      <c r="K21" s="19">
        <f>POWER(PRODUCT(K15:N15), 1/4)</f>
        <v>1.3160740129524926</v>
      </c>
      <c r="L21" s="20"/>
      <c r="M21" s="16"/>
      <c r="N21" s="16"/>
      <c r="O21" s="13"/>
      <c r="P21" s="13"/>
      <c r="Q21" s="13"/>
      <c r="R21" s="16" t="s">
        <v>29</v>
      </c>
      <c r="S21" s="21">
        <f>(S18-4)/(4-1)</f>
        <v>9.5582046259582512E-2</v>
      </c>
      <c r="T21" s="16"/>
      <c r="U21" s="16"/>
      <c r="V21" s="16"/>
      <c r="W21" s="16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x14ac:dyDescent="0.2">
      <c r="A22" s="13"/>
      <c r="B22" s="13"/>
      <c r="C22" s="13"/>
      <c r="D22" s="13"/>
      <c r="E22" s="13"/>
      <c r="F22" s="13"/>
      <c r="G22" s="13"/>
      <c r="H22" s="16"/>
      <c r="I22" s="13"/>
      <c r="J22" s="17" t="s">
        <v>14</v>
      </c>
      <c r="K22" s="19">
        <f>POWER(PRODUCT(K16:N16), 1/4)</f>
        <v>3.4086580994024982</v>
      </c>
      <c r="L22" s="20"/>
      <c r="M22" s="16"/>
      <c r="N22" s="16"/>
      <c r="O22" s="25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x14ac:dyDescent="0.2">
      <c r="A23" s="13"/>
      <c r="B23" s="13"/>
      <c r="C23" s="13"/>
      <c r="D23" s="13"/>
      <c r="E23" s="13"/>
      <c r="F23" s="13"/>
      <c r="G23" s="13"/>
      <c r="H23" s="16"/>
      <c r="I23" s="13"/>
      <c r="J23" s="17" t="s">
        <v>15</v>
      </c>
      <c r="K23" s="19">
        <f>POWER(PRODUCT(K17:N17), 1/4)</f>
        <v>0.29337057893113111</v>
      </c>
      <c r="L23" s="20"/>
      <c r="M23" s="16"/>
      <c r="N23" s="16"/>
      <c r="O23" s="15"/>
      <c r="P23" s="13"/>
      <c r="Q23" s="13"/>
      <c r="R23" s="23" t="s">
        <v>37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x14ac:dyDescent="0.2">
      <c r="A24" s="13"/>
      <c r="B24" s="13"/>
      <c r="C24" s="13"/>
      <c r="D24" s="13"/>
      <c r="E24" s="13"/>
      <c r="F24" s="13"/>
      <c r="G24" s="13"/>
      <c r="H24" s="16"/>
      <c r="I24" s="13"/>
      <c r="J24" s="13"/>
      <c r="K24" s="13"/>
      <c r="L24" s="16"/>
      <c r="M24" s="16"/>
      <c r="N24" s="16"/>
      <c r="O24" s="13"/>
      <c r="P24" s="13"/>
      <c r="Q24" s="13"/>
      <c r="R24" s="16" t="s">
        <v>30</v>
      </c>
      <c r="S24" s="21">
        <v>0.9</v>
      </c>
      <c r="T24" s="16"/>
      <c r="U24" s="16"/>
      <c r="V24" s="16"/>
      <c r="W24" s="16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x14ac:dyDescent="0.2">
      <c r="A25" s="13"/>
      <c r="B25" s="13"/>
      <c r="C25" s="13"/>
      <c r="D25" s="13"/>
      <c r="E25" s="13"/>
      <c r="F25" s="13"/>
      <c r="G25" s="13"/>
      <c r="H25" s="16"/>
      <c r="I25" s="13"/>
      <c r="J25" s="45" t="s">
        <v>39</v>
      </c>
      <c r="K25" s="45"/>
      <c r="L25" s="45"/>
      <c r="M25" s="45"/>
      <c r="N25" s="4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 x14ac:dyDescent="0.2">
      <c r="A26" s="13"/>
      <c r="B26" s="13"/>
      <c r="C26" s="42" t="s">
        <v>90</v>
      </c>
      <c r="D26" s="42"/>
      <c r="E26" s="43">
        <v>4</v>
      </c>
      <c r="F26" s="43"/>
      <c r="G26" s="13"/>
      <c r="H26" s="13"/>
      <c r="I26" s="13"/>
      <c r="J26" s="16" t="s">
        <v>16</v>
      </c>
      <c r="K26" s="21">
        <f>SUM(K20:K23)</f>
        <v>5.6328908442373864</v>
      </c>
      <c r="L26" s="16"/>
      <c r="M26" s="16"/>
      <c r="N26" s="13"/>
      <c r="O26" s="13"/>
      <c r="P26" s="13"/>
      <c r="Q26" s="13"/>
      <c r="R26" s="23" t="s">
        <v>32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 x14ac:dyDescent="0.2">
      <c r="A27" s="13"/>
      <c r="B27" s="13"/>
      <c r="C27" s="42"/>
      <c r="D27" s="42"/>
      <c r="E27" s="43"/>
      <c r="F27" s="4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6" t="s">
        <v>31</v>
      </c>
      <c r="S27" s="16">
        <f>S21/S24</f>
        <v>0.10620227362175834</v>
      </c>
      <c r="T27" s="16"/>
      <c r="U27" s="16"/>
      <c r="V27" s="16"/>
      <c r="W27" s="16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1:34" x14ac:dyDescent="0.2">
      <c r="A28" s="13"/>
      <c r="B28" s="13"/>
      <c r="C28" s="42"/>
      <c r="D28" s="42"/>
      <c r="E28" s="43"/>
      <c r="F28" s="43"/>
      <c r="G28" s="13"/>
      <c r="H28" s="16"/>
      <c r="I28" s="13"/>
      <c r="J28" s="45" t="s">
        <v>40</v>
      </c>
      <c r="K28" s="45"/>
      <c r="L28" s="45"/>
      <c r="M28" s="45"/>
      <c r="N28" s="45"/>
      <c r="O28" s="16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1:34" x14ac:dyDescent="0.2">
      <c r="A29" s="13"/>
      <c r="B29" s="13"/>
      <c r="C29" s="42"/>
      <c r="D29" s="42"/>
      <c r="E29" s="43"/>
      <c r="F29" s="43"/>
      <c r="G29" s="13"/>
      <c r="H29" s="13"/>
      <c r="I29" s="13"/>
      <c r="J29" s="16" t="s">
        <v>17</v>
      </c>
      <c r="K29" s="22">
        <f>K20/$K$26</f>
        <v>0.10914256461763515</v>
      </c>
      <c r="L29" s="13"/>
      <c r="M29" s="13"/>
      <c r="N29" s="13"/>
      <c r="O29" s="13"/>
      <c r="P29" s="13"/>
      <c r="Q29" s="13"/>
      <c r="R29" s="23" t="s">
        <v>33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1:34" x14ac:dyDescent="0.2">
      <c r="A30" s="13"/>
      <c r="B30" s="13"/>
      <c r="C30" s="42"/>
      <c r="D30" s="42"/>
      <c r="E30" s="43"/>
      <c r="F30" s="43"/>
      <c r="G30" s="13"/>
      <c r="H30" s="13"/>
      <c r="I30" s="13"/>
      <c r="J30" s="16" t="s">
        <v>18</v>
      </c>
      <c r="K30" s="22">
        <f>K21/$K$26</f>
        <v>0.23364095796368486</v>
      </c>
      <c r="L30" s="13"/>
      <c r="M30" s="13"/>
      <c r="N30" s="13"/>
      <c r="O30" s="13"/>
      <c r="P30" s="13"/>
      <c r="Q30" s="13"/>
      <c r="R30" s="51" t="s">
        <v>42</v>
      </c>
      <c r="S30" s="51"/>
      <c r="T30" s="51"/>
      <c r="U30" s="51"/>
      <c r="V30" s="51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1:34" x14ac:dyDescent="0.2">
      <c r="A31" s="13"/>
      <c r="B31" s="13"/>
      <c r="C31" s="42"/>
      <c r="D31" s="42"/>
      <c r="E31" s="43"/>
      <c r="F31" s="43"/>
      <c r="G31" s="16"/>
      <c r="H31" s="16"/>
      <c r="I31" s="16"/>
      <c r="J31" s="16" t="s">
        <v>19</v>
      </c>
      <c r="K31" s="22">
        <f>K22/$K$26</f>
        <v>0.60513476892414064</v>
      </c>
      <c r="L31" s="13"/>
      <c r="M31" s="13"/>
      <c r="N31" s="13"/>
      <c r="O31" s="13"/>
      <c r="P31" s="13"/>
      <c r="Q31" s="13"/>
      <c r="R31" s="51"/>
      <c r="S31" s="51"/>
      <c r="T31" s="51"/>
      <c r="U31" s="51"/>
      <c r="V31" s="51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1:34" x14ac:dyDescent="0.2">
      <c r="A32" s="13"/>
      <c r="B32" s="13"/>
      <c r="C32" s="42"/>
      <c r="D32" s="42"/>
      <c r="E32" s="43"/>
      <c r="F32" s="43"/>
      <c r="G32" s="13"/>
      <c r="H32" s="13"/>
      <c r="I32" s="13"/>
      <c r="J32" s="16" t="s">
        <v>20</v>
      </c>
      <c r="K32" s="22">
        <f>K23/$K$26</f>
        <v>5.208170849453933E-2</v>
      </c>
      <c r="L32" s="16"/>
      <c r="M32" s="16"/>
      <c r="N32" s="16"/>
      <c r="O32" s="16"/>
      <c r="P32" s="13"/>
      <c r="Q32" s="13"/>
      <c r="R32" s="51"/>
      <c r="S32" s="51"/>
      <c r="T32" s="51"/>
      <c r="U32" s="51"/>
      <c r="V32" s="51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4" x14ac:dyDescent="0.2">
      <c r="A33" s="13"/>
      <c r="B33" s="13"/>
      <c r="C33" s="42"/>
      <c r="D33" s="42"/>
      <c r="E33" s="43"/>
      <c r="F33" s="43"/>
      <c r="G33" s="13"/>
      <c r="H33" s="13"/>
      <c r="I33" s="13"/>
      <c r="J33" s="13"/>
      <c r="K33" s="13"/>
      <c r="L33" s="16"/>
      <c r="M33" s="16"/>
      <c r="N33" s="16"/>
      <c r="O33" s="16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4" x14ac:dyDescent="0.2">
      <c r="A34" s="13"/>
      <c r="B34" s="13"/>
      <c r="C34" s="42"/>
      <c r="D34" s="42"/>
      <c r="E34" s="43"/>
      <c r="F34" s="43"/>
      <c r="G34" s="13"/>
      <c r="H34" s="13"/>
      <c r="I34" s="13"/>
      <c r="J34" s="45" t="s">
        <v>41</v>
      </c>
      <c r="K34" s="45"/>
      <c r="L34" s="45"/>
      <c r="M34" s="45"/>
      <c r="N34" s="45"/>
      <c r="O34" s="16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:34" x14ac:dyDescent="0.2">
      <c r="A35" s="13"/>
      <c r="B35" s="13"/>
      <c r="C35" s="42"/>
      <c r="D35" s="42"/>
      <c r="E35" s="43"/>
      <c r="F35" s="43"/>
      <c r="G35" s="13"/>
      <c r="H35" s="13"/>
      <c r="I35" s="13"/>
      <c r="J35" s="54" t="s">
        <v>102</v>
      </c>
      <c r="K35" s="54"/>
      <c r="L35" s="54"/>
      <c r="M35" s="54"/>
      <c r="N35" s="54"/>
      <c r="O35" s="36">
        <f>MAX(K29:K32)</f>
        <v>0.60513476892414064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4" ht="14.5" customHeight="1" x14ac:dyDescent="0.2">
      <c r="A36" s="13"/>
      <c r="B36" s="13"/>
      <c r="C36" s="42"/>
      <c r="D36" s="42"/>
      <c r="E36" s="43"/>
      <c r="F36" s="43"/>
      <c r="G36" s="13"/>
      <c r="H36" s="13"/>
      <c r="I36" s="13"/>
      <c r="J36" s="41" t="s">
        <v>103</v>
      </c>
      <c r="K36" s="41"/>
      <c r="L36" s="41"/>
      <c r="M36" s="41"/>
      <c r="N36" s="41"/>
      <c r="O36" s="41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 x14ac:dyDescent="0.2">
      <c r="A37" s="13"/>
      <c r="B37" s="13"/>
      <c r="C37" s="13"/>
      <c r="D37" s="13"/>
      <c r="E37" s="13"/>
      <c r="F37" s="13"/>
      <c r="G37" s="13"/>
      <c r="H37" s="13"/>
      <c r="I37" s="13"/>
      <c r="J37" s="41"/>
      <c r="K37" s="41"/>
      <c r="L37" s="41"/>
      <c r="M37" s="41"/>
      <c r="N37" s="41"/>
      <c r="O37" s="41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34" x14ac:dyDescent="0.2">
      <c r="A38" s="13"/>
      <c r="B38" s="13"/>
      <c r="C38" s="13"/>
      <c r="D38" s="13"/>
      <c r="E38" s="13"/>
      <c r="F38" s="13"/>
      <c r="G38" s="13"/>
      <c r="H38" s="13"/>
      <c r="I38" s="13"/>
      <c r="J38" s="54" t="s">
        <v>105</v>
      </c>
      <c r="K38" s="54"/>
      <c r="L38" s="54"/>
      <c r="M38" s="54"/>
      <c r="N38" s="54"/>
      <c r="O38" s="5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4" x14ac:dyDescent="0.2">
      <c r="A39" s="13"/>
      <c r="B39" s="13"/>
      <c r="C39" s="13"/>
      <c r="D39" s="13"/>
      <c r="E39" s="13"/>
      <c r="F39" s="13"/>
      <c r="G39" s="13"/>
      <c r="H39" s="16"/>
      <c r="I39" s="13"/>
      <c r="J39" s="54" t="s">
        <v>104</v>
      </c>
      <c r="K39" s="54"/>
      <c r="L39" s="54"/>
      <c r="M39" s="54"/>
      <c r="N39" s="54"/>
      <c r="O39" s="5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34" x14ac:dyDescent="0.2">
      <c r="A40" s="13"/>
      <c r="B40" s="13"/>
      <c r="C40" s="13"/>
      <c r="D40" s="13"/>
      <c r="E40" s="13"/>
      <c r="F40" s="13"/>
      <c r="G40" s="13"/>
      <c r="H40" s="16"/>
      <c r="I40" s="13"/>
      <c r="J40" s="54" t="s">
        <v>106</v>
      </c>
      <c r="K40" s="54"/>
      <c r="L40" s="54"/>
      <c r="M40" s="54"/>
      <c r="N40" s="54"/>
      <c r="O40" s="5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x14ac:dyDescent="0.2">
      <c r="A41" s="13"/>
      <c r="B41" s="13"/>
      <c r="C41" s="13"/>
      <c r="D41" s="13"/>
      <c r="E41" s="13"/>
      <c r="F41" s="13"/>
      <c r="G41" s="13"/>
      <c r="H41" s="16"/>
      <c r="I41" s="13"/>
      <c r="J41" s="40" t="s">
        <v>107</v>
      </c>
      <c r="K41" s="40"/>
      <c r="L41" s="40"/>
      <c r="M41" s="40"/>
      <c r="N41" s="40"/>
      <c r="O41" s="40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1:34" x14ac:dyDescent="0.2">
      <c r="A42" s="13"/>
      <c r="B42" s="13"/>
      <c r="C42" s="13"/>
      <c r="D42" s="13"/>
      <c r="E42" s="13"/>
      <c r="F42" s="13"/>
      <c r="G42" s="13"/>
      <c r="H42" s="16"/>
      <c r="I42" s="13"/>
      <c r="J42" s="40"/>
      <c r="K42" s="40"/>
      <c r="L42" s="40"/>
      <c r="M42" s="40"/>
      <c r="N42" s="40"/>
      <c r="O42" s="40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1:34" x14ac:dyDescent="0.2">
      <c r="A43" s="13"/>
      <c r="B43" s="13"/>
      <c r="C43" s="13"/>
      <c r="D43" s="13"/>
      <c r="E43" s="13"/>
      <c r="F43" s="13"/>
      <c r="G43" s="13"/>
      <c r="H43" s="1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1:34" x14ac:dyDescent="0.2">
      <c r="A44" s="13"/>
      <c r="B44" s="13"/>
      <c r="C44" s="13"/>
      <c r="D44" s="13"/>
      <c r="E44" s="13"/>
      <c r="F44" s="13"/>
      <c r="G44" s="13"/>
      <c r="H44" s="1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1:34" ht="14.5" customHeight="1" x14ac:dyDescent="0.2">
      <c r="A45" s="13"/>
      <c r="B45" s="13"/>
      <c r="C45" s="13"/>
      <c r="D45" s="13"/>
      <c r="E45" s="13"/>
      <c r="F45" s="13"/>
      <c r="G45" s="13"/>
      <c r="H45" s="1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1:34" x14ac:dyDescent="0.2">
      <c r="A46" s="13"/>
      <c r="B46" s="13"/>
      <c r="C46" s="13"/>
      <c r="D46" s="13"/>
      <c r="E46" s="13"/>
      <c r="F46" s="13"/>
      <c r="G46" s="13"/>
      <c r="H46" s="1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34" x14ac:dyDescent="0.2">
      <c r="A47" s="13"/>
      <c r="B47" s="13"/>
      <c r="C47" s="13"/>
      <c r="D47" s="13"/>
      <c r="E47" s="13"/>
      <c r="F47" s="13"/>
      <c r="G47" s="13"/>
      <c r="H47" s="16"/>
      <c r="I47" s="16"/>
      <c r="J47" s="16"/>
      <c r="K47" s="16"/>
      <c r="L47" s="16"/>
      <c r="M47" s="16"/>
      <c r="N47" s="16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34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</sheetData>
  <mergeCells count="29">
    <mergeCell ref="J40:O40"/>
    <mergeCell ref="C12:G12"/>
    <mergeCell ref="J35:N35"/>
    <mergeCell ref="R30:V32"/>
    <mergeCell ref="AC9:AH9"/>
    <mergeCell ref="J38:O38"/>
    <mergeCell ref="J39:O39"/>
    <mergeCell ref="C20:G20"/>
    <mergeCell ref="C13:G14"/>
    <mergeCell ref="B13:B14"/>
    <mergeCell ref="B9:G9"/>
    <mergeCell ref="C10:G10"/>
    <mergeCell ref="C11:G11"/>
    <mergeCell ref="J41:O42"/>
    <mergeCell ref="J36:O37"/>
    <mergeCell ref="C26:D36"/>
    <mergeCell ref="E26:F36"/>
    <mergeCell ref="B5:G7"/>
    <mergeCell ref="H5:X7"/>
    <mergeCell ref="J34:N34"/>
    <mergeCell ref="J28:N28"/>
    <mergeCell ref="J25:N25"/>
    <mergeCell ref="J19:N19"/>
    <mergeCell ref="I9:O9"/>
    <mergeCell ref="Q9:X9"/>
    <mergeCell ref="B16:G16"/>
    <mergeCell ref="C17:G17"/>
    <mergeCell ref="C18:G18"/>
    <mergeCell ref="C19:G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44"/>
  <sheetViews>
    <sheetView tabSelected="1" topLeftCell="A4" zoomScale="90" workbookViewId="0">
      <selection activeCell="Q34" sqref="Q34"/>
    </sheetView>
  </sheetViews>
  <sheetFormatPr baseColWidth="10" defaultColWidth="8.83203125" defaultRowHeight="15" x14ac:dyDescent="0.2"/>
  <cols>
    <col min="9" max="9" width="8" customWidth="1"/>
    <col min="10" max="10" width="11.5" customWidth="1"/>
    <col min="11" max="11" width="9.5" bestFit="1" customWidth="1"/>
    <col min="19" max="19" width="9.83203125" bestFit="1" customWidth="1"/>
  </cols>
  <sheetData>
    <row r="2" spans="2:25" x14ac:dyDescent="0.2">
      <c r="C2" t="s">
        <v>5</v>
      </c>
    </row>
    <row r="3" spans="2:25" x14ac:dyDescent="0.2">
      <c r="B3" s="7" t="s">
        <v>0</v>
      </c>
    </row>
    <row r="4" spans="2:25" x14ac:dyDescent="0.2">
      <c r="B4" t="s">
        <v>1</v>
      </c>
      <c r="J4" t="s">
        <v>47</v>
      </c>
      <c r="K4">
        <v>3</v>
      </c>
      <c r="R4" t="s">
        <v>61</v>
      </c>
    </row>
    <row r="5" spans="2:25" x14ac:dyDescent="0.2">
      <c r="B5" t="s">
        <v>2</v>
      </c>
      <c r="J5" t="s">
        <v>48</v>
      </c>
      <c r="K5">
        <v>4</v>
      </c>
    </row>
    <row r="6" spans="2:25" x14ac:dyDescent="0.2">
      <c r="B6" t="s">
        <v>3</v>
      </c>
    </row>
    <row r="7" spans="2:25" ht="14.5" customHeight="1" x14ac:dyDescent="0.2"/>
    <row r="8" spans="2:25" ht="14.5" customHeight="1" x14ac:dyDescent="0.2">
      <c r="C8" t="s">
        <v>43</v>
      </c>
      <c r="J8" s="55" t="s">
        <v>49</v>
      </c>
      <c r="K8" s="55"/>
      <c r="L8" s="55"/>
      <c r="M8" s="55"/>
      <c r="N8" s="55"/>
      <c r="O8" s="55"/>
      <c r="P8" s="55"/>
      <c r="R8" s="55" t="s">
        <v>62</v>
      </c>
      <c r="S8" s="55"/>
      <c r="T8" s="55"/>
      <c r="U8" s="55"/>
      <c r="V8" s="55"/>
      <c r="W8" s="55"/>
      <c r="X8" s="55"/>
      <c r="Y8" s="55"/>
    </row>
    <row r="9" spans="2:25" ht="14.5" customHeight="1" thickBot="1" x14ac:dyDescent="0.25">
      <c r="B9" s="59" t="s">
        <v>44</v>
      </c>
      <c r="C9" s="59"/>
      <c r="D9" s="59"/>
      <c r="E9" s="59"/>
      <c r="F9" s="59"/>
      <c r="G9" s="59"/>
    </row>
    <row r="10" spans="2:25" ht="14.5" customHeight="1" x14ac:dyDescent="0.2">
      <c r="B10" s="59"/>
      <c r="C10" s="59"/>
      <c r="D10" s="59"/>
      <c r="E10" s="59"/>
      <c r="F10" s="59"/>
      <c r="G10" s="59"/>
      <c r="J10" s="61" t="s">
        <v>50</v>
      </c>
      <c r="K10" s="57" t="s">
        <v>55</v>
      </c>
      <c r="L10" s="57"/>
      <c r="M10" s="57"/>
      <c r="N10" s="58"/>
      <c r="R10" t="s">
        <v>63</v>
      </c>
      <c r="S10">
        <f>SUM(K12:K14)</f>
        <v>8</v>
      </c>
    </row>
    <row r="11" spans="2:25" ht="14.5" customHeight="1" x14ac:dyDescent="0.2">
      <c r="B11" s="59"/>
      <c r="C11" s="59"/>
      <c r="D11" s="59"/>
      <c r="E11" s="59"/>
      <c r="F11" s="59"/>
      <c r="G11" s="59"/>
      <c r="J11" s="62"/>
      <c r="K11" s="10" t="s">
        <v>51</v>
      </c>
      <c r="L11" s="10" t="s">
        <v>52</v>
      </c>
      <c r="M11" s="10" t="s">
        <v>53</v>
      </c>
      <c r="N11" s="11" t="s">
        <v>54</v>
      </c>
      <c r="R11" t="s">
        <v>64</v>
      </c>
      <c r="S11">
        <f>SUM(L12:L14)</f>
        <v>9</v>
      </c>
    </row>
    <row r="12" spans="2:25" ht="14.5" customHeight="1" x14ac:dyDescent="0.2">
      <c r="B12" s="59"/>
      <c r="C12" s="59"/>
      <c r="D12" s="59"/>
      <c r="E12" s="59"/>
      <c r="F12" s="59"/>
      <c r="G12" s="59"/>
      <c r="J12" s="1">
        <v>1</v>
      </c>
      <c r="K12" s="3">
        <v>3</v>
      </c>
      <c r="L12" s="3">
        <v>2</v>
      </c>
      <c r="M12" s="3">
        <v>1</v>
      </c>
      <c r="N12" s="4">
        <v>4</v>
      </c>
      <c r="R12" t="s">
        <v>65</v>
      </c>
      <c r="S12">
        <f>SUM(M12:M14)</f>
        <v>4</v>
      </c>
    </row>
    <row r="13" spans="2:25" ht="14.5" customHeight="1" x14ac:dyDescent="0.2">
      <c r="B13" s="59" t="s">
        <v>45</v>
      </c>
      <c r="C13" s="59"/>
      <c r="D13" s="59"/>
      <c r="E13" s="59"/>
      <c r="F13" s="59"/>
      <c r="G13" s="59"/>
      <c r="J13" s="1">
        <v>2</v>
      </c>
      <c r="K13" s="3">
        <v>1</v>
      </c>
      <c r="L13" s="3">
        <v>4</v>
      </c>
      <c r="M13" s="3">
        <v>2</v>
      </c>
      <c r="N13" s="4">
        <v>3</v>
      </c>
      <c r="R13" t="s">
        <v>66</v>
      </c>
      <c r="S13">
        <f>SUM(N12:N14)</f>
        <v>9</v>
      </c>
    </row>
    <row r="14" spans="2:25" ht="14.5" customHeight="1" thickBot="1" x14ac:dyDescent="0.25">
      <c r="B14" s="59"/>
      <c r="C14" s="59"/>
      <c r="D14" s="59"/>
      <c r="E14" s="59"/>
      <c r="F14" s="59"/>
      <c r="G14" s="59"/>
      <c r="J14" s="2">
        <v>3</v>
      </c>
      <c r="K14" s="5">
        <v>4</v>
      </c>
      <c r="L14" s="5">
        <v>3</v>
      </c>
      <c r="M14" s="5">
        <v>1</v>
      </c>
      <c r="N14" s="6">
        <v>2</v>
      </c>
    </row>
    <row r="15" spans="2:25" ht="14.5" customHeight="1" x14ac:dyDescent="0.2">
      <c r="B15" s="59"/>
      <c r="C15" s="59"/>
      <c r="D15" s="59"/>
      <c r="E15" s="59"/>
      <c r="F15" s="59"/>
      <c r="G15" s="59"/>
      <c r="R15" s="55" t="s">
        <v>67</v>
      </c>
      <c r="S15" s="55"/>
      <c r="T15" s="55"/>
      <c r="U15" s="55"/>
      <c r="V15" s="55"/>
      <c r="W15" s="55"/>
      <c r="X15" s="55"/>
      <c r="Y15" s="55"/>
    </row>
    <row r="16" spans="2:25" ht="14.5" customHeight="1" x14ac:dyDescent="0.2">
      <c r="B16" s="59"/>
      <c r="C16" s="59"/>
      <c r="D16" s="59"/>
      <c r="E16" s="59"/>
      <c r="F16" s="59"/>
      <c r="G16" s="59"/>
      <c r="J16" s="55" t="s">
        <v>56</v>
      </c>
      <c r="K16" s="55"/>
      <c r="L16" s="55"/>
      <c r="M16" s="55"/>
      <c r="N16" s="55"/>
      <c r="O16" s="55"/>
      <c r="P16" s="55"/>
    </row>
    <row r="17" spans="2:25" ht="14.5" customHeight="1" thickBot="1" x14ac:dyDescent="0.25">
      <c r="B17" s="60" t="s">
        <v>46</v>
      </c>
      <c r="C17" s="60"/>
      <c r="D17" s="60"/>
      <c r="E17" s="60"/>
      <c r="F17" s="60"/>
      <c r="G17" s="60"/>
      <c r="R17" t="s">
        <v>11</v>
      </c>
      <c r="S17">
        <f>K4*(K5+1)/2</f>
        <v>7.5</v>
      </c>
    </row>
    <row r="18" spans="2:25" ht="14.5" customHeight="1" x14ac:dyDescent="0.2">
      <c r="B18" s="60"/>
      <c r="C18" s="60"/>
      <c r="D18" s="60"/>
      <c r="E18" s="60"/>
      <c r="F18" s="60"/>
      <c r="G18" s="60"/>
      <c r="J18" s="61" t="s">
        <v>50</v>
      </c>
      <c r="K18" s="57" t="s">
        <v>55</v>
      </c>
      <c r="L18" s="57"/>
      <c r="M18" s="57"/>
      <c r="N18" s="58"/>
    </row>
    <row r="19" spans="2:25" ht="14.5" customHeight="1" x14ac:dyDescent="0.2">
      <c r="B19" s="60"/>
      <c r="C19" s="60"/>
      <c r="D19" s="60"/>
      <c r="E19" s="60"/>
      <c r="F19" s="60"/>
      <c r="G19" s="60"/>
      <c r="J19" s="62"/>
      <c r="K19" s="10" t="s">
        <v>51</v>
      </c>
      <c r="L19" s="10" t="s">
        <v>52</v>
      </c>
      <c r="M19" s="10" t="s">
        <v>53</v>
      </c>
      <c r="N19" s="11" t="s">
        <v>54</v>
      </c>
      <c r="R19" s="55" t="s">
        <v>68</v>
      </c>
      <c r="S19" s="55"/>
      <c r="T19" s="55"/>
      <c r="U19" s="55"/>
      <c r="V19" s="55"/>
      <c r="W19" s="55"/>
      <c r="X19" s="55"/>
      <c r="Y19" s="55"/>
    </row>
    <row r="20" spans="2:25" ht="14.5" customHeight="1" x14ac:dyDescent="0.2">
      <c r="B20" s="60"/>
      <c r="C20" s="60"/>
      <c r="D20" s="60"/>
      <c r="E20" s="60"/>
      <c r="F20" s="60"/>
      <c r="G20" s="60"/>
      <c r="J20" s="1">
        <v>1</v>
      </c>
      <c r="K20" s="3">
        <f xml:space="preserve"> $K$5 - $K12</f>
        <v>1</v>
      </c>
      <c r="L20" s="3">
        <f xml:space="preserve"> $K$5 - $L12</f>
        <v>2</v>
      </c>
      <c r="M20" s="3">
        <f xml:space="preserve"> $K$5 - $M12</f>
        <v>3</v>
      </c>
      <c r="N20" s="4">
        <f xml:space="preserve"> $K$5 - $N12</f>
        <v>0</v>
      </c>
    </row>
    <row r="21" spans="2:25" ht="16" x14ac:dyDescent="0.2">
      <c r="J21" s="1">
        <v>2</v>
      </c>
      <c r="K21" s="3">
        <f t="shared" ref="K21:K22" si="0" xml:space="preserve"> $K$5 - $K13</f>
        <v>3</v>
      </c>
      <c r="L21" s="3">
        <f t="shared" ref="L21:L22" si="1" xml:space="preserve"> $K$5 - $L13</f>
        <v>0</v>
      </c>
      <c r="M21" s="3">
        <f t="shared" ref="M21:M22" si="2" xml:space="preserve"> $K$5 - $M13</f>
        <v>2</v>
      </c>
      <c r="N21" s="4">
        <f t="shared" ref="N21:N22" si="3" xml:space="preserve"> $K$5 - $N13</f>
        <v>1</v>
      </c>
      <c r="R21">
        <f>POWER(S10-$S$17,2)</f>
        <v>0.25</v>
      </c>
      <c r="S21">
        <f>POWER(S11-$S$17,2)</f>
        <v>2.25</v>
      </c>
      <c r="T21">
        <f>POWER(S12-$S$17,2)</f>
        <v>12.25</v>
      </c>
      <c r="U21">
        <f>POWER(S13-$S$17,2)</f>
        <v>2.25</v>
      </c>
    </row>
    <row r="22" spans="2:25" ht="17" thickBot="1" x14ac:dyDescent="0.25">
      <c r="J22" s="2">
        <v>3</v>
      </c>
      <c r="K22" s="5">
        <f t="shared" si="0"/>
        <v>0</v>
      </c>
      <c r="L22" s="5">
        <f t="shared" si="1"/>
        <v>1</v>
      </c>
      <c r="M22" s="5">
        <f t="shared" si="2"/>
        <v>3</v>
      </c>
      <c r="N22" s="6">
        <f t="shared" si="3"/>
        <v>2</v>
      </c>
    </row>
    <row r="23" spans="2:25" x14ac:dyDescent="0.2">
      <c r="R23" t="s">
        <v>69</v>
      </c>
      <c r="S23">
        <f>SUM(R21:U21)</f>
        <v>17</v>
      </c>
    </row>
    <row r="24" spans="2:25" x14ac:dyDescent="0.2">
      <c r="J24" s="55" t="s">
        <v>57</v>
      </c>
      <c r="K24" s="55"/>
      <c r="L24" s="55"/>
      <c r="M24" s="55"/>
      <c r="N24" s="55"/>
      <c r="O24" s="55"/>
      <c r="P24" s="55"/>
    </row>
    <row r="25" spans="2:25" x14ac:dyDescent="0.2">
      <c r="R25" s="55" t="s">
        <v>70</v>
      </c>
      <c r="S25" s="55"/>
      <c r="T25" s="55"/>
      <c r="U25" s="55"/>
      <c r="V25" s="55"/>
      <c r="W25" s="55"/>
      <c r="X25" s="55"/>
      <c r="Y25" s="55"/>
    </row>
    <row r="26" spans="2:25" x14ac:dyDescent="0.2">
      <c r="J26" t="s">
        <v>12</v>
      </c>
      <c r="K26">
        <f>SUM(K$20:K$22)</f>
        <v>4</v>
      </c>
    </row>
    <row r="27" spans="2:25" x14ac:dyDescent="0.2">
      <c r="J27" t="s">
        <v>13</v>
      </c>
      <c r="K27">
        <f>SUM(L20:L22)</f>
        <v>3</v>
      </c>
      <c r="R27" t="s">
        <v>71</v>
      </c>
      <c r="S27">
        <f>(12*S23)/(K4*K4 *K5*(K5*K5-1))</f>
        <v>0.37777777777777777</v>
      </c>
    </row>
    <row r="28" spans="2:25" x14ac:dyDescent="0.2">
      <c r="J28" t="s">
        <v>14</v>
      </c>
      <c r="K28">
        <f>SUM(M20:M22)</f>
        <v>8</v>
      </c>
    </row>
    <row r="29" spans="2:25" x14ac:dyDescent="0.2">
      <c r="J29" t="s">
        <v>15</v>
      </c>
      <c r="K29">
        <f>SUM(N20:N22)</f>
        <v>3</v>
      </c>
      <c r="R29" s="55" t="s">
        <v>72</v>
      </c>
      <c r="S29" s="55"/>
      <c r="T29" s="55"/>
      <c r="U29" s="55"/>
      <c r="V29" s="55"/>
      <c r="W29" s="55"/>
      <c r="X29" s="55"/>
    </row>
    <row r="31" spans="2:25" x14ac:dyDescent="0.2">
      <c r="J31" s="55" t="s">
        <v>58</v>
      </c>
      <c r="K31" s="55"/>
      <c r="L31" s="55"/>
      <c r="M31" s="55"/>
      <c r="N31" s="55"/>
      <c r="O31" s="55"/>
      <c r="P31" s="55"/>
    </row>
    <row r="33" spans="10:16" x14ac:dyDescent="0.2">
      <c r="J33" t="s">
        <v>16</v>
      </c>
      <c r="K33">
        <f>SUM(K26:K29)</f>
        <v>18</v>
      </c>
    </row>
    <row r="35" spans="10:16" x14ac:dyDescent="0.2">
      <c r="J35" s="55" t="s">
        <v>60</v>
      </c>
      <c r="K35" s="55"/>
      <c r="L35" s="55"/>
      <c r="M35" s="55"/>
      <c r="N35" s="55"/>
      <c r="O35" s="55"/>
      <c r="P35" s="55"/>
    </row>
    <row r="37" spans="10:16" x14ac:dyDescent="0.2">
      <c r="J37" t="s">
        <v>17</v>
      </c>
      <c r="K37" s="9">
        <f>K26/$K$33</f>
        <v>0.22222222222222221</v>
      </c>
    </row>
    <row r="38" spans="10:16" x14ac:dyDescent="0.2">
      <c r="J38" t="s">
        <v>18</v>
      </c>
      <c r="K38" s="9">
        <f t="shared" ref="K38:K40" si="4">K27/$K$33</f>
        <v>0.16666666666666666</v>
      </c>
    </row>
    <row r="39" spans="10:16" x14ac:dyDescent="0.2">
      <c r="J39" t="s">
        <v>19</v>
      </c>
      <c r="K39" s="9">
        <f t="shared" si="4"/>
        <v>0.44444444444444442</v>
      </c>
    </row>
    <row r="40" spans="10:16" x14ac:dyDescent="0.2">
      <c r="J40" t="s">
        <v>20</v>
      </c>
      <c r="K40" s="9">
        <f t="shared" si="4"/>
        <v>0.16666666666666666</v>
      </c>
    </row>
    <row r="42" spans="10:16" x14ac:dyDescent="0.2">
      <c r="J42" s="55" t="s">
        <v>33</v>
      </c>
      <c r="K42" s="55"/>
      <c r="L42" s="55"/>
      <c r="M42" s="55"/>
      <c r="N42" s="55"/>
      <c r="O42" s="55"/>
      <c r="P42" s="55"/>
    </row>
    <row r="44" spans="10:16" x14ac:dyDescent="0.2">
      <c r="J44" s="56" t="s">
        <v>21</v>
      </c>
      <c r="K44" s="56"/>
      <c r="L44" s="56"/>
      <c r="M44" s="56"/>
      <c r="N44" s="56"/>
      <c r="O44" s="9">
        <f>K39</f>
        <v>0.44444444444444442</v>
      </c>
    </row>
  </sheetData>
  <mergeCells count="19">
    <mergeCell ref="B9:G12"/>
    <mergeCell ref="B13:G16"/>
    <mergeCell ref="B17:G20"/>
    <mergeCell ref="K10:N10"/>
    <mergeCell ref="J10:J11"/>
    <mergeCell ref="J18:J19"/>
    <mergeCell ref="J42:P42"/>
    <mergeCell ref="J44:N44"/>
    <mergeCell ref="R8:Y8"/>
    <mergeCell ref="R15:Y15"/>
    <mergeCell ref="R19:Y19"/>
    <mergeCell ref="R25:Y25"/>
    <mergeCell ref="R29:X29"/>
    <mergeCell ref="K18:N18"/>
    <mergeCell ref="J24:P24"/>
    <mergeCell ref="J16:P16"/>
    <mergeCell ref="J8:P8"/>
    <mergeCell ref="J31:P31"/>
    <mergeCell ref="J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36"/>
  <sheetViews>
    <sheetView workbookViewId="0">
      <selection activeCell="K14" sqref="K14"/>
    </sheetView>
  </sheetViews>
  <sheetFormatPr baseColWidth="10" defaultColWidth="8.83203125" defaultRowHeight="15" x14ac:dyDescent="0.2"/>
  <cols>
    <col min="10" max="10" width="11.83203125" customWidth="1"/>
    <col min="11" max="11" width="9.5" bestFit="1" customWidth="1"/>
  </cols>
  <sheetData>
    <row r="2" spans="2:25" x14ac:dyDescent="0.2">
      <c r="C2" t="s">
        <v>5</v>
      </c>
    </row>
    <row r="3" spans="2:25" x14ac:dyDescent="0.2">
      <c r="B3" s="7" t="s">
        <v>0</v>
      </c>
    </row>
    <row r="4" spans="2:25" x14ac:dyDescent="0.2">
      <c r="B4" t="s">
        <v>1</v>
      </c>
      <c r="J4" t="s">
        <v>47</v>
      </c>
      <c r="K4">
        <v>3</v>
      </c>
    </row>
    <row r="5" spans="2:25" x14ac:dyDescent="0.2">
      <c r="B5" t="s">
        <v>2</v>
      </c>
      <c r="J5" t="s">
        <v>48</v>
      </c>
      <c r="K5">
        <v>4</v>
      </c>
    </row>
    <row r="6" spans="2:25" x14ac:dyDescent="0.2">
      <c r="B6" t="s">
        <v>3</v>
      </c>
    </row>
    <row r="7" spans="2:25" x14ac:dyDescent="0.2">
      <c r="J7" s="12"/>
      <c r="K7" s="12"/>
      <c r="L7" s="12"/>
      <c r="M7" s="12"/>
      <c r="N7" s="12"/>
      <c r="O7" s="12"/>
      <c r="P7" s="12"/>
    </row>
    <row r="8" spans="2:25" x14ac:dyDescent="0.2">
      <c r="C8" t="s">
        <v>43</v>
      </c>
      <c r="J8" s="55" t="s">
        <v>49</v>
      </c>
      <c r="K8" s="55"/>
      <c r="L8" s="55"/>
      <c r="M8" s="55"/>
      <c r="N8" s="55"/>
      <c r="O8" s="12"/>
      <c r="P8" s="12"/>
      <c r="R8" s="55" t="s">
        <v>75</v>
      </c>
      <c r="S8" s="55"/>
      <c r="T8" s="55"/>
      <c r="U8" s="55"/>
      <c r="V8" s="55"/>
      <c r="W8" s="55"/>
      <c r="X8" s="12"/>
      <c r="Y8" s="12"/>
    </row>
    <row r="9" spans="2:25" ht="16" thickBot="1" x14ac:dyDescent="0.25">
      <c r="B9" s="59" t="s">
        <v>44</v>
      </c>
      <c r="C9" s="59"/>
      <c r="D9" s="59"/>
      <c r="E9" s="59"/>
      <c r="F9" s="59"/>
      <c r="G9" s="59"/>
    </row>
    <row r="10" spans="2:25" ht="16" x14ac:dyDescent="0.2">
      <c r="B10" s="59"/>
      <c r="C10" s="59"/>
      <c r="D10" s="59"/>
      <c r="E10" s="59"/>
      <c r="F10" s="59"/>
      <c r="G10" s="59"/>
      <c r="J10" s="61" t="s">
        <v>50</v>
      </c>
      <c r="K10" s="57" t="s">
        <v>55</v>
      </c>
      <c r="L10" s="57"/>
      <c r="M10" s="57"/>
      <c r="N10" s="58"/>
      <c r="R10" t="s">
        <v>76</v>
      </c>
      <c r="S10" s="8">
        <f>AVERAGE(K12:K14)</f>
        <v>5.333333333333333</v>
      </c>
    </row>
    <row r="11" spans="2:25" ht="16" x14ac:dyDescent="0.2">
      <c r="B11" s="59"/>
      <c r="C11" s="59"/>
      <c r="D11" s="59"/>
      <c r="E11" s="59"/>
      <c r="F11" s="59"/>
      <c r="G11" s="59"/>
      <c r="J11" s="62"/>
      <c r="K11" s="10" t="s">
        <v>51</v>
      </c>
      <c r="L11" s="10" t="s">
        <v>52</v>
      </c>
      <c r="M11" s="10" t="s">
        <v>53</v>
      </c>
      <c r="N11" s="11" t="s">
        <v>54</v>
      </c>
      <c r="R11" t="s">
        <v>77</v>
      </c>
      <c r="S11" s="8">
        <f>AVERAGE(L12:L14)</f>
        <v>4.666666666666667</v>
      </c>
    </row>
    <row r="12" spans="2:25" ht="16" x14ac:dyDescent="0.2">
      <c r="B12" s="59"/>
      <c r="C12" s="59"/>
      <c r="D12" s="59"/>
      <c r="E12" s="59"/>
      <c r="F12" s="59"/>
      <c r="G12" s="59"/>
      <c r="J12" s="1">
        <v>1</v>
      </c>
      <c r="K12" s="3">
        <v>5</v>
      </c>
      <c r="L12" s="3">
        <v>7</v>
      </c>
      <c r="M12" s="3">
        <v>10</v>
      </c>
      <c r="N12" s="4">
        <v>1</v>
      </c>
      <c r="R12" t="s">
        <v>78</v>
      </c>
      <c r="S12" s="8">
        <f>AVERAGE(M12:M14)</f>
        <v>9.6666666666666661</v>
      </c>
    </row>
    <row r="13" spans="2:25" ht="16" x14ac:dyDescent="0.2">
      <c r="B13" s="59" t="s">
        <v>45</v>
      </c>
      <c r="C13" s="59"/>
      <c r="D13" s="59"/>
      <c r="E13" s="59"/>
      <c r="F13" s="59"/>
      <c r="G13" s="59"/>
      <c r="J13" s="1">
        <v>2</v>
      </c>
      <c r="K13" s="3">
        <v>10</v>
      </c>
      <c r="L13" s="3">
        <v>1</v>
      </c>
      <c r="M13" s="3">
        <v>9</v>
      </c>
      <c r="N13" s="4">
        <v>5</v>
      </c>
      <c r="R13" t="s">
        <v>79</v>
      </c>
      <c r="S13" s="8">
        <f>AVERAGE(N12:N14)</f>
        <v>4.666666666666667</v>
      </c>
    </row>
    <row r="14" spans="2:25" ht="17" thickBot="1" x14ac:dyDescent="0.25">
      <c r="B14" s="59"/>
      <c r="C14" s="59"/>
      <c r="D14" s="59"/>
      <c r="E14" s="59"/>
      <c r="F14" s="59"/>
      <c r="G14" s="59"/>
      <c r="J14" s="2">
        <v>3</v>
      </c>
      <c r="K14" s="5">
        <v>1</v>
      </c>
      <c r="L14" s="5">
        <v>6</v>
      </c>
      <c r="M14" s="5">
        <v>10</v>
      </c>
      <c r="N14" s="6">
        <v>8</v>
      </c>
    </row>
    <row r="15" spans="2:25" x14ac:dyDescent="0.2">
      <c r="B15" s="59"/>
      <c r="C15" s="59"/>
      <c r="D15" s="59"/>
      <c r="E15" s="59"/>
      <c r="F15" s="59"/>
      <c r="G15" s="59"/>
      <c r="R15" s="55" t="s">
        <v>83</v>
      </c>
      <c r="S15" s="55"/>
      <c r="T15" s="55"/>
      <c r="U15" s="55"/>
      <c r="V15" s="55"/>
      <c r="W15" s="55"/>
    </row>
    <row r="16" spans="2:25" x14ac:dyDescent="0.2">
      <c r="B16" s="59"/>
      <c r="C16" s="59"/>
      <c r="D16" s="59"/>
      <c r="E16" s="59"/>
      <c r="F16" s="59"/>
      <c r="G16" s="59"/>
      <c r="J16" s="55" t="s">
        <v>73</v>
      </c>
      <c r="K16" s="55"/>
      <c r="L16" s="55"/>
      <c r="M16" s="55"/>
      <c r="N16" s="55"/>
      <c r="O16" s="12"/>
      <c r="P16" s="12"/>
    </row>
    <row r="17" spans="2:23" x14ac:dyDescent="0.2">
      <c r="B17" s="60" t="s">
        <v>46</v>
      </c>
      <c r="C17" s="60"/>
      <c r="D17" s="60"/>
      <c r="E17" s="60"/>
      <c r="F17" s="60"/>
      <c r="G17" s="60"/>
      <c r="R17" t="s">
        <v>80</v>
      </c>
      <c r="S17">
        <f>1/($K$5-1)*SUMXMY2($K12:$N12,$S$10:$S$13)</f>
        <v>6.3703703703703702</v>
      </c>
    </row>
    <row r="18" spans="2:23" x14ac:dyDescent="0.2">
      <c r="B18" s="60"/>
      <c r="C18" s="60"/>
      <c r="D18" s="60"/>
      <c r="E18" s="60"/>
      <c r="F18" s="60"/>
      <c r="G18" s="60"/>
      <c r="J18" t="s">
        <v>12</v>
      </c>
      <c r="K18">
        <f>SUM(K12:K14)</f>
        <v>16</v>
      </c>
      <c r="R18" t="s">
        <v>81</v>
      </c>
      <c r="S18">
        <f>1/($K$5-1)*SUMXMY2($K13:$N13,$S$10:$S$13)</f>
        <v>11.925925925925927</v>
      </c>
    </row>
    <row r="19" spans="2:23" x14ac:dyDescent="0.2">
      <c r="B19" s="60"/>
      <c r="C19" s="60"/>
      <c r="D19" s="60"/>
      <c r="E19" s="60"/>
      <c r="F19" s="60"/>
      <c r="G19" s="60"/>
      <c r="J19" t="s">
        <v>13</v>
      </c>
      <c r="K19">
        <f>SUM(L12:L14)</f>
        <v>14</v>
      </c>
      <c r="R19" t="s">
        <v>82</v>
      </c>
      <c r="S19">
        <f>1/($K$5-1)*SUMXMY2($K14:$N14,$S$10:$S$13)</f>
        <v>10.59259259259259</v>
      </c>
    </row>
    <row r="20" spans="2:23" x14ac:dyDescent="0.2">
      <c r="B20" s="60"/>
      <c r="C20" s="60"/>
      <c r="D20" s="60"/>
      <c r="E20" s="60"/>
      <c r="F20" s="60"/>
      <c r="G20" s="60"/>
      <c r="J20" t="s">
        <v>14</v>
      </c>
      <c r="K20">
        <f>SUM(M12:M14)</f>
        <v>29</v>
      </c>
    </row>
    <row r="21" spans="2:23" x14ac:dyDescent="0.2">
      <c r="J21" t="s">
        <v>15</v>
      </c>
      <c r="K21">
        <f>SUM(N12:N14)</f>
        <v>14</v>
      </c>
      <c r="R21" s="55" t="s">
        <v>84</v>
      </c>
      <c r="S21" s="55"/>
      <c r="T21" s="55"/>
      <c r="U21" s="55"/>
      <c r="V21" s="55"/>
      <c r="W21" s="55"/>
    </row>
    <row r="23" spans="2:23" x14ac:dyDescent="0.2">
      <c r="J23" s="55" t="s">
        <v>74</v>
      </c>
      <c r="K23" s="55"/>
      <c r="L23" s="55"/>
      <c r="M23" s="55"/>
      <c r="N23" s="55"/>
      <c r="R23" t="s">
        <v>85</v>
      </c>
      <c r="S23">
        <f>1/($K$4-1)*SUM($U23:$W23)</f>
        <v>20.333333333333336</v>
      </c>
      <c r="U23">
        <f>POWER($K12-$S$10,2)</f>
        <v>0.11111111111111091</v>
      </c>
      <c r="V23">
        <f>POWER($K13-$S$10,2)</f>
        <v>21.777777777777782</v>
      </c>
      <c r="W23">
        <f>POWER($K14-$S$10,2)</f>
        <v>18.777777777777775</v>
      </c>
    </row>
    <row r="24" spans="2:23" x14ac:dyDescent="0.2">
      <c r="R24" t="s">
        <v>86</v>
      </c>
      <c r="S24">
        <f>1/($K$4-1)*SUM($U24:$W24)</f>
        <v>10.333333333333334</v>
      </c>
      <c r="U24">
        <f>POWER($L12-$S$11,2)</f>
        <v>5.4444444444444429</v>
      </c>
      <c r="V24">
        <f>POWER($L13-$S$11,2)</f>
        <v>13.444444444444446</v>
      </c>
      <c r="W24">
        <f>POWER($L14-$S$11,2)</f>
        <v>1.777777777777777</v>
      </c>
    </row>
    <row r="25" spans="2:23" x14ac:dyDescent="0.2">
      <c r="J25" t="s">
        <v>16</v>
      </c>
      <c r="K25">
        <f>SUM(K18:K21)</f>
        <v>73</v>
      </c>
      <c r="R25" t="s">
        <v>87</v>
      </c>
      <c r="S25">
        <f>1/($K$4-1)*SUM($U25:$W25)</f>
        <v>0.33333333333333331</v>
      </c>
      <c r="U25">
        <f>POWER($M12-$S$12, 2)</f>
        <v>0.11111111111111151</v>
      </c>
      <c r="V25">
        <f>POWER($M13-$S$12, 2)</f>
        <v>0.44444444444444364</v>
      </c>
      <c r="W25">
        <f>POWER($M14-$S$12, 2)</f>
        <v>0.11111111111111151</v>
      </c>
    </row>
    <row r="26" spans="2:23" x14ac:dyDescent="0.2">
      <c r="R26" t="s">
        <v>88</v>
      </c>
      <c r="S26">
        <f>1/($K$4-1)*SUM($U26:$W26)</f>
        <v>12.333333333333332</v>
      </c>
      <c r="U26">
        <f>POWER($N12-$S$13,2)</f>
        <v>13.444444444444446</v>
      </c>
      <c r="V26">
        <f>POWER($N13-$S$13,2)</f>
        <v>0.11111111111111091</v>
      </c>
      <c r="W26">
        <f>POWER($N14-$S$13,2)</f>
        <v>11.111111111111109</v>
      </c>
    </row>
    <row r="27" spans="2:23" x14ac:dyDescent="0.2">
      <c r="J27" s="55" t="s">
        <v>59</v>
      </c>
      <c r="K27" s="55"/>
      <c r="L27" s="55"/>
      <c r="M27" s="55"/>
      <c r="N27" s="55"/>
    </row>
    <row r="28" spans="2:23" x14ac:dyDescent="0.2">
      <c r="R28" s="55" t="s">
        <v>89</v>
      </c>
      <c r="S28" s="55"/>
      <c r="T28" s="55"/>
      <c r="U28" s="55"/>
      <c r="V28" s="55"/>
      <c r="W28" s="55"/>
    </row>
    <row r="29" spans="2:23" x14ac:dyDescent="0.2">
      <c r="J29" t="s">
        <v>17</v>
      </c>
      <c r="K29" s="8">
        <f>K18/$K$25</f>
        <v>0.21917808219178081</v>
      </c>
    </row>
    <row r="30" spans="2:23" x14ac:dyDescent="0.2">
      <c r="J30" t="s">
        <v>18</v>
      </c>
      <c r="K30" s="8">
        <f t="shared" ref="K30:K32" si="0">K19/$K$25</f>
        <v>0.19178082191780821</v>
      </c>
    </row>
    <row r="31" spans="2:23" x14ac:dyDescent="0.2">
      <c r="J31" t="s">
        <v>19</v>
      </c>
      <c r="K31" s="8">
        <f t="shared" si="0"/>
        <v>0.39726027397260272</v>
      </c>
    </row>
    <row r="32" spans="2:23" x14ac:dyDescent="0.2">
      <c r="J32" t="s">
        <v>20</v>
      </c>
      <c r="K32" s="8">
        <f t="shared" si="0"/>
        <v>0.19178082191780821</v>
      </c>
    </row>
    <row r="34" spans="10:14" x14ac:dyDescent="0.2">
      <c r="J34" s="55" t="s">
        <v>72</v>
      </c>
      <c r="K34" s="55"/>
      <c r="L34" s="55"/>
      <c r="M34" s="55"/>
      <c r="N34" s="55"/>
    </row>
    <row r="36" spans="10:14" x14ac:dyDescent="0.2">
      <c r="J36" s="56" t="s">
        <v>21</v>
      </c>
      <c r="K36" s="56"/>
      <c r="L36" s="56"/>
      <c r="M36" s="56"/>
      <c r="N36" s="8">
        <f>K31</f>
        <v>0.39726027397260272</v>
      </c>
    </row>
  </sheetData>
  <mergeCells count="15">
    <mergeCell ref="J34:N34"/>
    <mergeCell ref="J36:M36"/>
    <mergeCell ref="B9:G12"/>
    <mergeCell ref="B13:G16"/>
    <mergeCell ref="B17:G20"/>
    <mergeCell ref="J10:J11"/>
    <mergeCell ref="K10:N10"/>
    <mergeCell ref="R28:W28"/>
    <mergeCell ref="R15:W15"/>
    <mergeCell ref="R21:W21"/>
    <mergeCell ref="R8:W8"/>
    <mergeCell ref="J23:N23"/>
    <mergeCell ref="J16:N16"/>
    <mergeCell ref="J8:N8"/>
    <mergeCell ref="J27:N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Метод Саати</vt:lpstr>
      <vt:lpstr>Метод предпочтений</vt:lpstr>
      <vt:lpstr>Метод ранга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2024-02-08T23:14:11Z</dcterms:modified>
</cp:coreProperties>
</file>